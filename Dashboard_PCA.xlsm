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7682814\Desktop\Projetos\Dashboard PCA 2025\"/>
    </mc:Choice>
  </mc:AlternateContent>
  <xr:revisionPtr revIDLastSave="0" documentId="13_ncr:1_{2AFE52AD-305F-444E-8ACA-790BE0D24E4B}" xr6:coauthVersionLast="47" xr6:coauthVersionMax="47" xr10:uidLastSave="{00000000-0000-0000-0000-000000000000}"/>
  <bookViews>
    <workbookView xWindow="-28920" yWindow="-120" windowWidth="29040" windowHeight="15720" activeTab="1" xr2:uid="{B4CF6597-ED18-4BD3-93C2-CFE2CCCB0684}"/>
  </bookViews>
  <sheets>
    <sheet name="PCA" sheetId="1" r:id="rId1"/>
    <sheet name="Formação PCA" sheetId="3" r:id="rId2"/>
  </sheets>
  <definedNames>
    <definedName name="Caminho">PCA!$XAU$1</definedName>
    <definedName name="DadosExternos_1" localSheetId="1" hidden="1">'Formação PCA'!$A$1:$AA$119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AU1" i="1" l="1" a="1"/>
  <c r="XAU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D94C17-C017-4A90-8872-4AA2CF9FA6CE}" keepAlive="1" name="Consulta - formacao_pca" description="Conexão com a consulta 'formacao_pca' na pasta de trabalho." type="5" refreshedVersion="7" background="1" saveData="1">
    <dbPr connection="Provider=Microsoft.Mashup.OleDb.1;Data Source=$Workbook$;Location=formacao_pca;Extended Properties=&quot;&quot;" command="SELECT * FROM [formacao_pca]"/>
  </connection>
  <connection id="2" xr16:uid="{5273DD4F-8DD9-40AC-859D-AF2E0D9A69E7}" keepAlive="1" name="Consulta - PCA" description="Conexão com a consulta 'PCA' na pasta de trabalho." type="5" refreshedVersion="0" background="1">
    <dbPr connection="Provider=Microsoft.Mashup.OleDb.1;Data Source=$Workbook$;Location=PCA;Extended Properties=&quot;&quot;" command="SELECT * FROM [PC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<sst xmlns="http://schemas.openxmlformats.org/spreadsheetml/2006/main" count="1997" uniqueCount="602">
  <si>
    <t>8960 - BEBIDAS NÃO ALCOÓLICAS</t>
  </si>
  <si>
    <t>R$ 15.000,00</t>
  </si>
  <si>
    <t>8530 - ARTIGOS PARA HIGIENE PESSOAL</t>
  </si>
  <si>
    <t>R$ 3.000,00</t>
  </si>
  <si>
    <t>R$ 1.000,00</t>
  </si>
  <si>
    <t>R$ 20.000,00</t>
  </si>
  <si>
    <t>R$ 10.000,00</t>
  </si>
  <si>
    <t>7510 - ARTIGOS PARA ESCRITÓRIO</t>
  </si>
  <si>
    <t>R$ 130.000,00</t>
  </si>
  <si>
    <t>7125 - ARMÁRIOS E ESTANTES</t>
  </si>
  <si>
    <t>7110 - MOBILIÁRIO PARA ESCRITÓRIO</t>
  </si>
  <si>
    <t>R$ 350.000,00</t>
  </si>
  <si>
    <t>R$ 120.000,00</t>
  </si>
  <si>
    <t>R$ 150.000,00</t>
  </si>
  <si>
    <t>R$ 30.000,00</t>
  </si>
  <si>
    <t>7010 - COMPUTADORES</t>
  </si>
  <si>
    <t>R$ 70.000,00</t>
  </si>
  <si>
    <t>6130 - CONVERSORES ELÉTRICOS ESTÁTICOS</t>
  </si>
  <si>
    <t>R$ 380.000,00</t>
  </si>
  <si>
    <t>R$ 100.000,00</t>
  </si>
  <si>
    <t>R$ 5.000,00</t>
  </si>
  <si>
    <t>4110 - EQUIPAMENTO PARA REFRIGERAÇÃO</t>
  </si>
  <si>
    <t>R$ 8.400,00</t>
  </si>
  <si>
    <t>R$ 6.000,00</t>
  </si>
  <si>
    <t>929 - OUTROS SERVIÇOS DE EDUCAÇÃO E TREINAMENTO</t>
  </si>
  <si>
    <t>873 - SERVIÇOS DE INSTALAÇÃO(À EXCEÇÃO DA CONSTRUÇÃO)</t>
  </si>
  <si>
    <t>R$ 65.000,00</t>
  </si>
  <si>
    <t>872 - SERVIÇOS DE REPARO DE OUTROS BENS</t>
  </si>
  <si>
    <t>R$ 50.000,00</t>
  </si>
  <si>
    <t>R$ 300.000,00</t>
  </si>
  <si>
    <t>871 - SERVIÇOS DE MANUTENÇÃO E REPARO DE PRODUTOS FABRICADOS DE METAL,MAQUINARIA E EQUIPAMENTOS</t>
  </si>
  <si>
    <t>859 - OUTROS SERVIÇOS DE SUPORTE</t>
  </si>
  <si>
    <t>R$ 7.000,00</t>
  </si>
  <si>
    <t>R$ 40.000,00</t>
  </si>
  <si>
    <t>853 - SERVIÇOS DE LIMPEZA</t>
  </si>
  <si>
    <t>R$ 5.500,00</t>
  </si>
  <si>
    <t>R$ 60.000,00</t>
  </si>
  <si>
    <t>839 - OUTROS SERVIÇOS DE NEGÓCIOS, TÉCNICOS E PROFISSIONAIS</t>
  </si>
  <si>
    <t>833 - SERVIÇOS DE ENGENHARIA</t>
  </si>
  <si>
    <t>R$ 165.000,00</t>
  </si>
  <si>
    <t>R$ 13.000,00</t>
  </si>
  <si>
    <t>661 - SERVIÇOS DE TRANSPORTE AÉREO DE PASSAGEIROS</t>
  </si>
  <si>
    <t>R$ 200.000,00</t>
  </si>
  <si>
    <t>545 - TIPOS ESPECIAIS DE SERVIÇOS DE CONSTRUÇÃO</t>
  </si>
  <si>
    <t>R$ 80.000,00</t>
  </si>
  <si>
    <t>542 - SERVIÇOS GERAIS DE CONSTRUÇÃO PARA OBRAS DE ENGENHARIA CIVIL</t>
  </si>
  <si>
    <t>R$ 650.000,00</t>
  </si>
  <si>
    <t>182 - SERVIÇOS DE LICENCIAMENTO E CONTRATOS DE TRANSFERÊNCIA DE TECNOLOGIA</t>
  </si>
  <si>
    <t>ID</t>
  </si>
  <si>
    <t>Classe/Grupo</t>
  </si>
  <si>
    <t>Valor total Estimado</t>
  </si>
  <si>
    <t>Data da aquisição</t>
  </si>
  <si>
    <t>ID Futura Contratação</t>
  </si>
  <si>
    <t>Número da contratação</t>
  </si>
  <si>
    <t>Status da contratação</t>
  </si>
  <si>
    <t>Situação da Execução</t>
  </si>
  <si>
    <t>Título da contratação</t>
  </si>
  <si>
    <t>Categoria da contratação</t>
  </si>
  <si>
    <t>UASG Atual</t>
  </si>
  <si>
    <t>Data estimada para o início do processo de contratação</t>
  </si>
  <si>
    <t>Data estimada para a conclusão do processo de contratação</t>
  </si>
  <si>
    <t>Prazo estimado de duração do processo de contratação (dias)</t>
  </si>
  <si>
    <t>Área requisitante</t>
  </si>
  <si>
    <t>Nº DFD</t>
  </si>
  <si>
    <t>Prioridade</t>
  </si>
  <si>
    <t>Nº do Item no DFD</t>
  </si>
  <si>
    <t>Data da conclusão da Contratação no DFD</t>
  </si>
  <si>
    <t>Classificação da Contratação</t>
  </si>
  <si>
    <t>Código Classe/Grupo</t>
  </si>
  <si>
    <t>Nome Classe/Grupo</t>
  </si>
  <si>
    <t>Código PDM material</t>
  </si>
  <si>
    <t>Nome do PDM material</t>
  </si>
  <si>
    <t>Código material/serviço</t>
  </si>
  <si>
    <t>Descrição material/serviço</t>
  </si>
  <si>
    <t>Unidade Fornecimento</t>
  </si>
  <si>
    <t>Valor Unitário</t>
  </si>
  <si>
    <t>Quantidade</t>
  </si>
  <si>
    <t>Valor Total</t>
  </si>
  <si>
    <t>Aprovada</t>
  </si>
  <si>
    <t>BENS</t>
  </si>
  <si>
    <t>BAF - FONOAUDIOLOGIA</t>
  </si>
  <si>
    <t>Alto</t>
  </si>
  <si>
    <t>Material</t>
  </si>
  <si>
    <t>BAO - ODONTOP. ORTO. S COLETIVA</t>
  </si>
  <si>
    <t>50/2025</t>
  </si>
  <si>
    <t>Médio</t>
  </si>
  <si>
    <t>EQUIPAMENTOS E ARTIGOS DE LABORATÓRIO</t>
  </si>
  <si>
    <t>BAD - DENT. ENDO. MAT ODONT.</t>
  </si>
  <si>
    <t>INSTRUMENTOS, EQUIPAMENTOS E SUPRIMENTOS DENTÁRIOS</t>
  </si>
  <si>
    <t>EQUIPAMENTOS E SUPRIMENTOS DE RAIOS-X DE USO  MÉDICO,  DENTÁRIO E VETERINÁRIO</t>
  </si>
  <si>
    <t>CLINICAS ODONTO</t>
  </si>
  <si>
    <t>UBAS</t>
  </si>
  <si>
    <t>Baixo</t>
  </si>
  <si>
    <t>CLINICA DE FONOAUDIOLOGIA</t>
  </si>
  <si>
    <t>UN</t>
  </si>
  <si>
    <t>MOBILIÁRIO, EQUIPAMENTOS, UTENSÍLIOS E  SUPRIMENTOS  HOSPITALARES</t>
  </si>
  <si>
    <t>BAE - ESTOMATO. CIRU. RADIO. PATO</t>
  </si>
  <si>
    <t>25/2025</t>
  </si>
  <si>
    <t>PRODUTOS QUÍMICOS</t>
  </si>
  <si>
    <t>53/2025</t>
  </si>
  <si>
    <t>DROGAS E MEDICAMENTOS</t>
  </si>
  <si>
    <t>58/2025</t>
  </si>
  <si>
    <t>CIP</t>
  </si>
  <si>
    <t>BAB - CIENCIAS BIOLÓGICAS</t>
  </si>
  <si>
    <t>Instrumentos, Equipamentos E Suprimentos Médicos  E  Cirúrgicos</t>
  </si>
  <si>
    <t>SUBSTÂNCIAS PARA DIAGNÓSTICO "IN VITRO",  REAGENTES,  CONJUNTOS E JOGOS PARA TESTE</t>
  </si>
  <si>
    <t>74/2025</t>
  </si>
  <si>
    <t>TRIAGEM - URGENCIA</t>
  </si>
  <si>
    <t>GASES COMPRIMIDOS E LIQUEFEITOS</t>
  </si>
  <si>
    <t>SERVICOS</t>
  </si>
  <si>
    <t>ATF - FINANCEIRO</t>
  </si>
  <si>
    <t>Serviço</t>
  </si>
  <si>
    <t>OBRAS_SERV_ESP_ENGENHARIA</t>
  </si>
  <si>
    <t>BIBLIOTECA</t>
  </si>
  <si>
    <t>56/2025</t>
  </si>
  <si>
    <t>Mobiliário corporativo</t>
  </si>
  <si>
    <t>26/2025</t>
  </si>
  <si>
    <t>ATAC - ACADEMICA</t>
  </si>
  <si>
    <t>MOBILIÁRIO PARA ESCRITÓRIO</t>
  </si>
  <si>
    <t>ATA - ADMINISTRACAO</t>
  </si>
  <si>
    <t>OBRAS</t>
  </si>
  <si>
    <t>38/2025</t>
  </si>
  <si>
    <t>31/2025</t>
  </si>
  <si>
    <t>OUTROS SERVIÇOS DE SUPORTE</t>
  </si>
  <si>
    <t>IMPRESSOS DIVERSOS</t>
  </si>
  <si>
    <t>Móveis planejados</t>
  </si>
  <si>
    <t>MOBILIÁRIOS DIVERSOS E ACESSÓRIOS</t>
  </si>
  <si>
    <t>ALMOXARIFADO</t>
  </si>
  <si>
    <t>PROJETO RONDONIA</t>
  </si>
  <si>
    <t>80/2025</t>
  </si>
  <si>
    <t>Calibração de equipamentos Fono</t>
  </si>
  <si>
    <t>EQUIPAMENTO DE AR CONDICIONADO</t>
  </si>
  <si>
    <t>ITENS DIVERSOS</t>
  </si>
  <si>
    <t>SERVIÇOS DE REPARO DE OUTROS BENS</t>
  </si>
  <si>
    <t>INSTRUMENTOS, EQUIPAMENTOS E SUPRIMENTOS MÉDICOS  E  CIRÚRGICOS</t>
  </si>
  <si>
    <t>VESTUÁRIO HOSPITALAR E CIRÚRGICO E ITENS CORRELATOS DE  FINALIDADES ESPECIAIS</t>
  </si>
  <si>
    <t>CME - CENTRAL MATERIAL ESTERILIZACAO</t>
  </si>
  <si>
    <t>CAFÉ, CHÁ E CHOCOLATE</t>
  </si>
  <si>
    <t>ALIMENTOS ESPECIAIS DIETÉTICOS E PREPARADOS ALIMENTÍCIOS</t>
  </si>
  <si>
    <t>AÇÚCAR, CONFEITOS, CASTANHAS, NOZES E SIMILARES</t>
  </si>
  <si>
    <t>ARTIGOS DE PAPEL PARA HIGIENE</t>
  </si>
  <si>
    <t>LOUÇA E ARTIGOS DE MESA</t>
  </si>
  <si>
    <t>MATERIAIS A GRANEL PARA ACONDICIONAMENTO E EMBALAGEM</t>
  </si>
  <si>
    <t>VASSOURAS, ESCOVAS, RODOS, ESPONJAS E ESFREGÕES</t>
  </si>
  <si>
    <t>BAP - Prótese e Periodontia</t>
  </si>
  <si>
    <t>TIPOS ESPECIAIS DE SERVIÇOS DE CONSTRUÇÃO</t>
  </si>
  <si>
    <t>FONES, MICROFONES E ALTO-FALANTES</t>
  </si>
  <si>
    <t>36/2025</t>
  </si>
  <si>
    <t>SERVIÇOS DE  LICENCIAMENTO E  CONTRATOS DE TRANSFERÊNCIA DE TECNOLOGIA</t>
  </si>
  <si>
    <t>63/2025</t>
  </si>
  <si>
    <t>46/2025</t>
  </si>
  <si>
    <t>66/2025</t>
  </si>
  <si>
    <t>CONTRATACOES_TIC</t>
  </si>
  <si>
    <t>27/2025</t>
  </si>
  <si>
    <t>COMPUTADORES</t>
  </si>
  <si>
    <t>STI</t>
  </si>
  <si>
    <t>43/2025</t>
  </si>
  <si>
    <t>57/2025</t>
  </si>
  <si>
    <t>ARTIGOS PARA ESCRITÓRIO</t>
  </si>
  <si>
    <t>EQUIPAMENTO PARA REFRIGERAÇÃO</t>
  </si>
  <si>
    <t>SABONETES, ARTIGOS PARA BARBEAR E DENTIFRÍCIOS</t>
  </si>
  <si>
    <t>PESTICIDAS E DESINFETANTES</t>
  </si>
  <si>
    <t>SACOS E BOLSAS</t>
  </si>
  <si>
    <t>UTENSÍLIOS E FERRAMENTAS MANUAIS DE COZINHA</t>
  </si>
  <si>
    <t>34/2025</t>
  </si>
  <si>
    <t>Valor Total Contratação</t>
  </si>
  <si>
    <t/>
  </si>
  <si>
    <t>Criar arquivo referente aos dados da aba PCA na pasta \dados_pca  -&gt; Ctrl + Shift + P</t>
  </si>
  <si>
    <t>Criar arquivo referente aos dados da aba "Formação PCA" na pasta \dados_pca  -&gt; Ctrl + Shift + F</t>
  </si>
  <si>
    <t>3438 - EQUIPAMENTOS DIVERSOS DE SOLDA</t>
  </si>
  <si>
    <t>102122-2/2025</t>
  </si>
  <si>
    <t>30/07/2025</t>
  </si>
  <si>
    <t>6550 - SUBSTÂNCIAS PARA DIAGNÓSTICO "IN VITRO", REAGENTES, CONJUNTOS E JOGOS PARA TESTE</t>
  </si>
  <si>
    <t>102122-26/2025</t>
  </si>
  <si>
    <t>R$ 4.030,00</t>
  </si>
  <si>
    <t>9999 - ITENS DIVERSOS</t>
  </si>
  <si>
    <t>102122-25/2025</t>
  </si>
  <si>
    <t>25/06/2025</t>
  </si>
  <si>
    <t>7240 - RECEPIENTES PARA USO DOMÉSTICO E COMERCIAL</t>
  </si>
  <si>
    <t>8520 - SABONETES, ARTIGOS PARA BARBEAR E DENTIFRÍCIOS</t>
  </si>
  <si>
    <t>102122-24/2025</t>
  </si>
  <si>
    <t>R$ 60.500,00</t>
  </si>
  <si>
    <t>30/09/2025</t>
  </si>
  <si>
    <t>6530 - MOBILIÁRIO, EQUIPAMENTOS, UTENSÍLIOS E SUPRIMENTOS HOSPITALARES</t>
  </si>
  <si>
    <t>102122-23/2025</t>
  </si>
  <si>
    <t>R$ 78.750,00</t>
  </si>
  <si>
    <t>6515 - INSTRUMENTOS, EQUIPAMENTOS E SUPRIMENTOS MÉDICOS E CIRÚRGICOS</t>
  </si>
  <si>
    <t>102122-21/2025</t>
  </si>
  <si>
    <t>6520 - INSTRUMENTOS, EQUIPAMENTOS E SUPRIMENTOS DENTÁRIOS</t>
  </si>
  <si>
    <t>102122-20/2025</t>
  </si>
  <si>
    <t>102122-19/2025</t>
  </si>
  <si>
    <t>R$ 135.000,00</t>
  </si>
  <si>
    <t>20/01/2025</t>
  </si>
  <si>
    <t>R$ 11.400,00</t>
  </si>
  <si>
    <t>102122-18/2025</t>
  </si>
  <si>
    <t>R$ 3.190,00</t>
  </si>
  <si>
    <t>14/03/2025</t>
  </si>
  <si>
    <t>6532 - VESTUÁRIO HOSPITALAR E CIRÚRGICO E ITENS CORRELATOS DE FINALIDADES ESPECIAIS</t>
  </si>
  <si>
    <t>R$ 31.550,00</t>
  </si>
  <si>
    <t>5895 - EQUIPAMENTOS DIVERSOS PARA COMUNICAÇÕES</t>
  </si>
  <si>
    <t>102122-17/2025</t>
  </si>
  <si>
    <t>28/11/2025</t>
  </si>
  <si>
    <t>6810 - PRODUTOS QUÍMICOS</t>
  </si>
  <si>
    <t>102122-16/2025</t>
  </si>
  <si>
    <t>17/06/2025</t>
  </si>
  <si>
    <t>6640 - EQUIPAMENTOS E ARTIGOS DE LABORATÓRIO</t>
  </si>
  <si>
    <t>4460 - EQUIPAMENTOS PARA PURIFICAÇÃO DE AR</t>
  </si>
  <si>
    <t>8955 - CAFÉ, CHÁ E CHOCOLATE</t>
  </si>
  <si>
    <t>102122-15/2025</t>
  </si>
  <si>
    <t>R$ 32.500,00</t>
  </si>
  <si>
    <t>26/08/2025</t>
  </si>
  <si>
    <t>8940 - ALIMENTOS ESPECIAIS DIETÉTICOS E PREPARADOS ALIMENTÍCIOS</t>
  </si>
  <si>
    <t>R$ 2.500,00</t>
  </si>
  <si>
    <t>8925 - AÇÚCAR, CONFEITOS, CASTANHAS, NOZES E SIMILARES</t>
  </si>
  <si>
    <t>8540 - ARTIGOS DE PAPEL PARA HIGIENE</t>
  </si>
  <si>
    <t>102122-14/2025</t>
  </si>
  <si>
    <t>R$ 125.000,00</t>
  </si>
  <si>
    <t>102122-13/2025</t>
  </si>
  <si>
    <t>15/01/2025</t>
  </si>
  <si>
    <t>6840 - PESTICIDAS E DESINFETANTES</t>
  </si>
  <si>
    <t>7920 - VASSOURAS, ESCOVAS, RODOS, ESPONJAS E ESFREGÕES</t>
  </si>
  <si>
    <t>8105 - SACOS E BOLSAS</t>
  </si>
  <si>
    <t>7350 - LOUÇA E ARTIGOS DE MESA</t>
  </si>
  <si>
    <t>7330 - UTENSÍLIOS E FERRAMENTAS MANUAIS DE COZINHA</t>
  </si>
  <si>
    <t>102122-12/2025</t>
  </si>
  <si>
    <t>R$ 17.500,00</t>
  </si>
  <si>
    <t>9330 - ARTIGOS DE PLÁSTICO</t>
  </si>
  <si>
    <t>102122-11/2025</t>
  </si>
  <si>
    <t>25/07/2025</t>
  </si>
  <si>
    <t>8135 - MATERIAIS A GRANEL PARA ACONDICIONAMENTO E EMBALAGEM</t>
  </si>
  <si>
    <t>102122-10/2025</t>
  </si>
  <si>
    <t>R$ 135.600,00</t>
  </si>
  <si>
    <t>18/08/2025</t>
  </si>
  <si>
    <t>102122-9/2025</t>
  </si>
  <si>
    <t>R$ 326.500,00</t>
  </si>
  <si>
    <t>R$ 54.000,00</t>
  </si>
  <si>
    <t>102122-8/2025</t>
  </si>
  <si>
    <t>6505 - DROGAS E MEDICAMENTOS</t>
  </si>
  <si>
    <t>6135 - BATERIAS NAO RECARREGÁVEIS</t>
  </si>
  <si>
    <t>102122-7/2025</t>
  </si>
  <si>
    <t>R$ 10.800,00</t>
  </si>
  <si>
    <t>R$ 88.000,00</t>
  </si>
  <si>
    <t>102122-38/2025</t>
  </si>
  <si>
    <t>102122-28/2025</t>
  </si>
  <si>
    <t>20/06/2025</t>
  </si>
  <si>
    <t>102122-48/2025</t>
  </si>
  <si>
    <t>R$ 900.000,00</t>
  </si>
  <si>
    <t>30/12/2025</t>
  </si>
  <si>
    <t>102122-1/2025</t>
  </si>
  <si>
    <t>R$ 61.500,00</t>
  </si>
  <si>
    <t>30/01/2025</t>
  </si>
  <si>
    <t>2940 - FILTROS DE AR E DE ÓLEO, ELEMENTOS FILTRANTES E PURIFICADO- RES DE MOTORES, EXCETO DE AERONAVES</t>
  </si>
  <si>
    <t>R$ 23.000,00</t>
  </si>
  <si>
    <t>732 - SERVIÇOS DE LEASING OU ALUGUEL RELACIONADOS A OUTROS BENS</t>
  </si>
  <si>
    <t>102122-45/2025</t>
  </si>
  <si>
    <t>R$ 55.000,00</t>
  </si>
  <si>
    <t>102122-44/2025</t>
  </si>
  <si>
    <t>28/05/2025</t>
  </si>
  <si>
    <t>102122-43/2025</t>
  </si>
  <si>
    <t>16/10/2025</t>
  </si>
  <si>
    <t>102122-42/2025</t>
  </si>
  <si>
    <t>102122-41/2025</t>
  </si>
  <si>
    <t>102122-39/2025</t>
  </si>
  <si>
    <t>R$ 225.000,00</t>
  </si>
  <si>
    <t>102122-47/2025</t>
  </si>
  <si>
    <t>R$ 250.000,00</t>
  </si>
  <si>
    <t>30/10/2025</t>
  </si>
  <si>
    <t>102122-52/2025</t>
  </si>
  <si>
    <t>R$ 32.000,00</t>
  </si>
  <si>
    <t>24/07/2025</t>
  </si>
  <si>
    <t>102122-51/2025</t>
  </si>
  <si>
    <t>102122-50/2025</t>
  </si>
  <si>
    <t>28/03/2025</t>
  </si>
  <si>
    <t>102122-59/2025</t>
  </si>
  <si>
    <t>891 - SERVIÇOS DE REPRODUÇÃO, PUBLICAÇÃO E IMPRESSÃO</t>
  </si>
  <si>
    <t>102122-58/2025</t>
  </si>
  <si>
    <t>102122-57/2025</t>
  </si>
  <si>
    <t>102122-56/2025</t>
  </si>
  <si>
    <t>23/10/2025</t>
  </si>
  <si>
    <t>102122-55/2025</t>
  </si>
  <si>
    <t>R$ 220.000,00</t>
  </si>
  <si>
    <t>102122-54/2025</t>
  </si>
  <si>
    <t>102122-53/2025</t>
  </si>
  <si>
    <t>102122-68/2025</t>
  </si>
  <si>
    <t>969 - OUTROS SERVIÇOS DE RECREAÇÃO E DIVERSÃO</t>
  </si>
  <si>
    <t>102122-69/2025</t>
  </si>
  <si>
    <t>30/04/2025</t>
  </si>
  <si>
    <t>102122-73/2025</t>
  </si>
  <si>
    <t>30/06/2025</t>
  </si>
  <si>
    <t>102122-74/2025</t>
  </si>
  <si>
    <t>R$ 2.100.000,00</t>
  </si>
  <si>
    <t>102122-46/2025</t>
  </si>
  <si>
    <t>R$ 1.850.000,00</t>
  </si>
  <si>
    <t>16/05/2025</t>
  </si>
  <si>
    <t>102122-49/2025</t>
  </si>
  <si>
    <t>R$ 1.260.000,00</t>
  </si>
  <si>
    <t>28/04/2025</t>
  </si>
  <si>
    <t>102122-66/2025</t>
  </si>
  <si>
    <t>102122-65/2025</t>
  </si>
  <si>
    <t>102122-64/2025</t>
  </si>
  <si>
    <t>102122-63/2025</t>
  </si>
  <si>
    <t>R$ 700.000,00</t>
  </si>
  <si>
    <t>102122-6/2025</t>
  </si>
  <si>
    <t>20/05/2025</t>
  </si>
  <si>
    <t>R$ 59.000,00</t>
  </si>
  <si>
    <t>R$ 1.200,00</t>
  </si>
  <si>
    <t>6140 - BATERIAS RECARREGÁVEIS</t>
  </si>
  <si>
    <t>R$ 2.000,00</t>
  </si>
  <si>
    <t>5965 - FONES, MICROFONES E ALTO-FALANTES</t>
  </si>
  <si>
    <t>102122-5/2025</t>
  </si>
  <si>
    <t>R$ 1.300,00</t>
  </si>
  <si>
    <t>R$ 12.000,00</t>
  </si>
  <si>
    <t>7060 - PEÇAS E ACESSÓRIOS PARA COMPUTADORES</t>
  </si>
  <si>
    <t>7030 - EQUIPAMENTOS DE ARMAZENAMENTO DE DADOS</t>
  </si>
  <si>
    <t>4120 - EQUIPAMENTO DE AR CONDICIONADO</t>
  </si>
  <si>
    <t>102122-4/2025</t>
  </si>
  <si>
    <t>R$ 230.000,00</t>
  </si>
  <si>
    <t>25/09/2025</t>
  </si>
  <si>
    <t>102122-3/2025</t>
  </si>
  <si>
    <t>R$ 4.500,00</t>
  </si>
  <si>
    <t>102122-37/2025</t>
  </si>
  <si>
    <t>102122-36/2025</t>
  </si>
  <si>
    <t>8920 - PRODUTOS DE PANIFICAÇÃO E CEREAIS</t>
  </si>
  <si>
    <t>7690 - IMPRESSOS DIVERSOS</t>
  </si>
  <si>
    <t>102122-34/2025</t>
  </si>
  <si>
    <t>R$ 74.000,00</t>
  </si>
  <si>
    <t>7230 - TAPEÇARIAS, CORTINAS E PERSIANAS</t>
  </si>
  <si>
    <t>102122-32/2025</t>
  </si>
  <si>
    <t>13/02/2025</t>
  </si>
  <si>
    <t>7195 - MOBILIÁRIOS DIVERSOS E ACESSÓRIOS</t>
  </si>
  <si>
    <t>102122-31/2025</t>
  </si>
  <si>
    <t>102122-30/2025</t>
  </si>
  <si>
    <t>R$ 242.000,00</t>
  </si>
  <si>
    <t>102122-29/2025</t>
  </si>
  <si>
    <t>7105 - MOBILIÁRIO DOMÉSTICO</t>
  </si>
  <si>
    <t>6830 - GASES COMPRIMIDOS E LIQUEFEITOS</t>
  </si>
  <si>
    <t>102122-27/2025</t>
  </si>
  <si>
    <t>7730 - FONÓGRAFOS, RÁDIOS E TELEVISORES DE TIPO DOMÉSTICO</t>
  </si>
  <si>
    <t>102122-35/2025</t>
  </si>
  <si>
    <t>7610 - LIVROS E FOLHETOS</t>
  </si>
  <si>
    <t>102122-33/2025</t>
  </si>
  <si>
    <t>7290 - UTENSÍLIOS COMERCIAIS E DOMÉSTICOS DIVERSOS</t>
  </si>
  <si>
    <t>102122-61/2025</t>
  </si>
  <si>
    <t>6350 - SISTEMAS DIVERSOS DE SINALIZAÇÃO, ALARME E DETECÇÃO PARA SEGURANÇA</t>
  </si>
  <si>
    <t>102122-60/2025</t>
  </si>
  <si>
    <t>102122-72/2025</t>
  </si>
  <si>
    <t>R$ 872.000,00</t>
  </si>
  <si>
    <t>102122-71/2025</t>
  </si>
  <si>
    <t>28/02/2025</t>
  </si>
  <si>
    <t>102122-70/2025</t>
  </si>
  <si>
    <t>R$ 2.800.000,00</t>
  </si>
  <si>
    <t>102122-77/2025</t>
  </si>
  <si>
    <t>102122-76/2025</t>
  </si>
  <si>
    <t>22/04/2025</t>
  </si>
  <si>
    <t>6525 - EQUIPAMENTOS E SUPRIMENTOS DE RAIOS-X DE USO MÉDICO, DENTÁRIO E VETERINÁRIO</t>
  </si>
  <si>
    <t>102122-75/2025</t>
  </si>
  <si>
    <t>102122-79/2025</t>
  </si>
  <si>
    <t>102122-80/2025</t>
  </si>
  <si>
    <t>5/2025</t>
  </si>
  <si>
    <t>Itens e acessórios de informática</t>
  </si>
  <si>
    <t>31/2024</t>
  </si>
  <si>
    <t>41/2024</t>
  </si>
  <si>
    <t>CONVERSORES ELÉTRICOS ESTÁTICOS</t>
  </si>
  <si>
    <t>PEÇAS E ACESSÓRIOS PARA COMPUTADORES</t>
  </si>
  <si>
    <t>EQUIPAMENTOS DE ARMAZENAMENTO DE DADOS</t>
  </si>
  <si>
    <t>68/2025</t>
  </si>
  <si>
    <t>Encerrada</t>
  </si>
  <si>
    <t>Manutenção preventiva e atualização de software dos simuladores</t>
  </si>
  <si>
    <t>2/2025</t>
  </si>
  <si>
    <t>SERVIÇOS DE MANUTENÇÃO E REPARO DE PRODUTOS FABRICADOS DE METAL,MAQUINARIA E EQUIPAMENTOS</t>
  </si>
  <si>
    <t>INSTALAÇÃO / MANUTENÇÃO / REPARO - EQUIPAMENTO LABORATÓRIO</t>
  </si>
  <si>
    <t>1/2025</t>
  </si>
  <si>
    <t>Manutenção de veículos</t>
  </si>
  <si>
    <t>15/2024</t>
  </si>
  <si>
    <t>FILTROS DE AR E DE ÓLEO, ELEMENTOS FILTRANTES E PURIFICADO- RES DE MOTORES, EXCETO DE AERONAVES</t>
  </si>
  <si>
    <t>Aquisição máquina de solda ortodontia</t>
  </si>
  <si>
    <t>64/2024</t>
  </si>
  <si>
    <t>EQUIPAMENTOS DIVERSOS DE SOLDA</t>
  </si>
  <si>
    <t>3/2025</t>
  </si>
  <si>
    <t>Aquisição de equipamentos de refrigeração</t>
  </si>
  <si>
    <t>59/2024</t>
  </si>
  <si>
    <t>60/2024</t>
  </si>
  <si>
    <t>6/2025</t>
  </si>
  <si>
    <t>Aquisição de artigos de escritório</t>
  </si>
  <si>
    <t>8/2024</t>
  </si>
  <si>
    <t>DEPARTAMENTOS</t>
  </si>
  <si>
    <t>23/2024</t>
  </si>
  <si>
    <t>27/2024</t>
  </si>
  <si>
    <t>BATERIAS RECARREGÁVEIS</t>
  </si>
  <si>
    <t>7/2025</t>
  </si>
  <si>
    <t>Aquisição pilha 13 e AASI Rondônia</t>
  </si>
  <si>
    <t>BATERIAS NAO RECARREGÁVEIS</t>
  </si>
  <si>
    <t>8/2025</t>
  </si>
  <si>
    <t>Material odontológico Almoxarifado</t>
  </si>
  <si>
    <t>10/2024</t>
  </si>
  <si>
    <t>13/2024</t>
  </si>
  <si>
    <t>9/2025</t>
  </si>
  <si>
    <t>Aquisição de equipos odontológcos</t>
  </si>
  <si>
    <t>62/2024</t>
  </si>
  <si>
    <t>67/2024</t>
  </si>
  <si>
    <t>10/2025</t>
  </si>
  <si>
    <t>Médico-Hospitalar Almoxarifado</t>
  </si>
  <si>
    <t>1/2024</t>
  </si>
  <si>
    <t>11/2025</t>
  </si>
  <si>
    <t>Artigos de higiene e  limpeza Almoxarifado</t>
  </si>
  <si>
    <t>12/2024</t>
  </si>
  <si>
    <t>12/2025</t>
  </si>
  <si>
    <t>Produtos Químicos Convênio Harvard</t>
  </si>
  <si>
    <t>CONVENIO HARVARD</t>
  </si>
  <si>
    <t>33/2024</t>
  </si>
  <si>
    <t>ARTIGOS DE PLÁSTICO</t>
  </si>
  <si>
    <t>13/2025</t>
  </si>
  <si>
    <t>Higiene e limpeza Almoxarifado</t>
  </si>
  <si>
    <t>14/2025</t>
  </si>
  <si>
    <t>Artigos de papel higiene Almox</t>
  </si>
  <si>
    <t>15/2025</t>
  </si>
  <si>
    <t>Copa e cozinha Almoxarifado</t>
  </si>
  <si>
    <t>14/2024</t>
  </si>
  <si>
    <t>16/2025</t>
  </si>
  <si>
    <t>Material de laboratório Ciências Biológicas</t>
  </si>
  <si>
    <t>32/2024</t>
  </si>
  <si>
    <t>EQUIPAMENTOS PARA PURIFICAÇÃO DE AR</t>
  </si>
  <si>
    <t>17/2025</t>
  </si>
  <si>
    <t>Audiovisual anfiteatros</t>
  </si>
  <si>
    <t>52/2024</t>
  </si>
  <si>
    <t>EQUIPAMENTOS DIVERSOS PARA COMUNICAÇÕES</t>
  </si>
  <si>
    <t>18/2025</t>
  </si>
  <si>
    <t>Médico-Hospitalar Rondônia e Clin Fono</t>
  </si>
  <si>
    <t>28/2024</t>
  </si>
  <si>
    <t>36/2024</t>
  </si>
  <si>
    <t>19/2025</t>
  </si>
  <si>
    <t>Material Odontológico Geral</t>
  </si>
  <si>
    <t>11/2024</t>
  </si>
  <si>
    <t>29/2024</t>
  </si>
  <si>
    <t>39/2024</t>
  </si>
  <si>
    <t>20/2025</t>
  </si>
  <si>
    <t>Equipamentos odontológicos</t>
  </si>
  <si>
    <t>63/2024</t>
  </si>
  <si>
    <t>23/2025</t>
  </si>
  <si>
    <t>Aquisição de mochos odontológicos</t>
  </si>
  <si>
    <t>24/2024</t>
  </si>
  <si>
    <t>56/2024</t>
  </si>
  <si>
    <t>24/2025</t>
  </si>
  <si>
    <t>Testes CME</t>
  </si>
  <si>
    <t>25/2024</t>
  </si>
  <si>
    <t>Itens zeladoria</t>
  </si>
  <si>
    <t>40/2024</t>
  </si>
  <si>
    <t>ARTIGOS PARA HIGIENE PESSOAL</t>
  </si>
  <si>
    <t>RECEPIENTES PARA USO DOMÉSTICO E COMERCIAL</t>
  </si>
  <si>
    <t>Abastecimento de nitrogênio líquido</t>
  </si>
  <si>
    <t>69/2024</t>
  </si>
  <si>
    <t>28/2025</t>
  </si>
  <si>
    <t>Aquisição de mini pcs</t>
  </si>
  <si>
    <t>66/2024</t>
  </si>
  <si>
    <t>32/2025</t>
  </si>
  <si>
    <t>Aquisição persianas</t>
  </si>
  <si>
    <t>38/2024</t>
  </si>
  <si>
    <t>TAPEÇARIAS, CORTINAS E PERSIANAS</t>
  </si>
  <si>
    <t>Poltrona anfiteatro Odontoped</t>
  </si>
  <si>
    <t>30/2025</t>
  </si>
  <si>
    <t>9/2024</t>
  </si>
  <si>
    <t>29/2025</t>
  </si>
  <si>
    <t>Aquisição de móveis p´lanejados</t>
  </si>
  <si>
    <t>7/2024</t>
  </si>
  <si>
    <t>MOBILIÁRIO DOMÉSTICO</t>
  </si>
  <si>
    <t>ARMÁRIOS E ESTANTES</t>
  </si>
  <si>
    <t>33/2025</t>
  </si>
  <si>
    <t>Aquisição de livros</t>
  </si>
  <si>
    <t>37/2024</t>
  </si>
  <si>
    <t>LIVROS E FOLHETOS</t>
  </si>
  <si>
    <t>Licença de software Jaos</t>
  </si>
  <si>
    <t>55/2024</t>
  </si>
  <si>
    <t>Aquisição de gêneros alimentícios</t>
  </si>
  <si>
    <t>35/2024</t>
  </si>
  <si>
    <t>BEBIDAS NÃO ALCOÓLICAS</t>
  </si>
  <si>
    <t>PRODUTOS DE PANIFICAÇÃO E CEREAIS</t>
  </si>
  <si>
    <t>37/2025</t>
  </si>
  <si>
    <t>Aquisição de itens de laboratório</t>
  </si>
  <si>
    <t>35/2025</t>
  </si>
  <si>
    <t>Aquisição Televisores</t>
  </si>
  <si>
    <t>58/2024</t>
  </si>
  <si>
    <t>FONÓGRAFOS, RÁDIOS E TELEVISORES DE TIPO DOMÉSTICO</t>
  </si>
  <si>
    <t>Aquisição Testes Psico-pedagógicos</t>
  </si>
  <si>
    <t>30/2024</t>
  </si>
  <si>
    <t>41/2025</t>
  </si>
  <si>
    <t>Serviço de lavanderia hospitalar</t>
  </si>
  <si>
    <t>70/2024</t>
  </si>
  <si>
    <t>SERVIÇOS DE LIMPEZA</t>
  </si>
  <si>
    <t>42/2025</t>
  </si>
  <si>
    <t>Reforma piso anfiteatro Odontoped</t>
  </si>
  <si>
    <t>Serviços comuns de engenharia</t>
  </si>
  <si>
    <t>51/2024</t>
  </si>
  <si>
    <t>39/2025</t>
  </si>
  <si>
    <t>Serviço emissão passagens aéreas</t>
  </si>
  <si>
    <t>6/2024</t>
  </si>
  <si>
    <t>SERVIÇOS DE TRANSPORTE AÉREO DE PASSAGEIROS</t>
  </si>
  <si>
    <t>45/2025</t>
  </si>
  <si>
    <t>Locação embarcação Rondônia</t>
  </si>
  <si>
    <t>48/2024</t>
  </si>
  <si>
    <t>SERVIÇOS DE LEASING OU ALUGUEL RELACIONADOS A OUTROS BENS</t>
  </si>
  <si>
    <t>Serviço pintura campus</t>
  </si>
  <si>
    <t>71/2024</t>
  </si>
  <si>
    <t>SERVIÇOS GERAIS DE CONSTRUÇÃO PARA OBRAS DE ENGENHARIA CIVIL</t>
  </si>
  <si>
    <t>49/2025</t>
  </si>
  <si>
    <t>Reforma CIP I</t>
  </si>
  <si>
    <t>3/2024</t>
  </si>
  <si>
    <t>SERVIÇOS DE ENGENHARIA</t>
  </si>
  <si>
    <t>Serviço revisão inglês artigos JAOS</t>
  </si>
  <si>
    <t>54/2024</t>
  </si>
  <si>
    <t>OUTROS SERVIÇOS DE NEGÓCIOS, TÉCNICOS E PROFISSIONAIS</t>
  </si>
  <si>
    <t>48/2025</t>
  </si>
  <si>
    <t>Reforma rede de lógica Clínica de Fono</t>
  </si>
  <si>
    <t>4/2024</t>
  </si>
  <si>
    <t>51/2025</t>
  </si>
  <si>
    <t>Serviço de descupinização</t>
  </si>
  <si>
    <t>52/2025</t>
  </si>
  <si>
    <t xml:space="preserve">Serviço de manutenção preventiva e corretiva de autoclaves	</t>
  </si>
  <si>
    <t>47/2024</t>
  </si>
  <si>
    <t>54/2025</t>
  </si>
  <si>
    <t xml:space="preserve">Serviço de manutenção preventiva e corretiva de aparelhos de ar condicionado	</t>
  </si>
  <si>
    <t>45/2024</t>
  </si>
  <si>
    <t>43/2024</t>
  </si>
  <si>
    <t>Serviço de impressão de material gráfico</t>
  </si>
  <si>
    <t>34/2024</t>
  </si>
  <si>
    <t>SERVIÇOS DE REPRODUÇÃO, PUBLICAÇÃO E IMPRESSÃO</t>
  </si>
  <si>
    <t>Serviço de manutenção em grupo geradores do campus</t>
  </si>
  <si>
    <t>46/2024</t>
  </si>
  <si>
    <t>59/2025</t>
  </si>
  <si>
    <t>Contratação de atores pacientes simulados</t>
  </si>
  <si>
    <t>53/2024</t>
  </si>
  <si>
    <t>OUTROS SERVIÇOS DE EDUCAÇÃO E TREINAMENTO</t>
  </si>
  <si>
    <t xml:space="preserve">sistema de ultrassonografia </t>
  </si>
  <si>
    <t>79/2025</t>
  </si>
  <si>
    <t>Aquisição equipamentos clínica de fono</t>
  </si>
  <si>
    <t>Laboratório Pesquisa FONO</t>
  </si>
  <si>
    <t>57/2024</t>
  </si>
  <si>
    <t>4/2025</t>
  </si>
  <si>
    <t>Aquisição ar condicionado</t>
  </si>
  <si>
    <t>65/2024</t>
  </si>
  <si>
    <t>21/2025</t>
  </si>
  <si>
    <t>Cabine audiometria e ultrassom portátil Rôndonia</t>
  </si>
  <si>
    <t>Insumo para equipamento de laboratório CIP</t>
  </si>
  <si>
    <t>26/2024</t>
  </si>
  <si>
    <t>60/2025</t>
  </si>
  <si>
    <t>Sistema de monitoramento e porteiro eletrônico</t>
  </si>
  <si>
    <t>73/2024</t>
  </si>
  <si>
    <t>SISTEMAS DIVERSOS DE SINALIZAÇÃO, ALARME E DETECÇÃO PARA  SEGURANÇA</t>
  </si>
  <si>
    <t>61/2025</t>
  </si>
  <si>
    <t>Aquisição de secador de mão</t>
  </si>
  <si>
    <t>74/2024</t>
  </si>
  <si>
    <t>UTENSÍLIOS COMERCIAIS E DOMÉSTICOS DIVERSOS</t>
  </si>
  <si>
    <t>55/2025</t>
  </si>
  <si>
    <t>Serviço de manutenção preventiva e corretiva em equipamentos de laboratório</t>
  </si>
  <si>
    <t>42/2024</t>
  </si>
  <si>
    <t xml:space="preserve">Serviço instalação de condicionadores de ar para toda FOB.	</t>
  </si>
  <si>
    <t>SERVIÇOS DE INSTALAÇÃO(À EXCEÇÃO DA CONSTRUÇÃO)</t>
  </si>
  <si>
    <t>47/2025</t>
  </si>
  <si>
    <t>Expansão Casa da Afasia</t>
  </si>
  <si>
    <t>5/2024</t>
  </si>
  <si>
    <t>44/2025</t>
  </si>
  <si>
    <t>Serviços infiltração águas pluviais</t>
  </si>
  <si>
    <t>49/2024</t>
  </si>
  <si>
    <t>Reforma da área interna e cobertura do CPC</t>
  </si>
  <si>
    <t>77/2024</t>
  </si>
  <si>
    <t>SERVIÇO ENGENHARIA</t>
  </si>
  <si>
    <t>64/2025</t>
  </si>
  <si>
    <t>Reforma do prédio da manutenção.</t>
  </si>
  <si>
    <t>78/2024</t>
  </si>
  <si>
    <t>65/2025</t>
  </si>
  <si>
    <t>Reforma das antigas câmaras escuras</t>
  </si>
  <si>
    <t>79/2024</t>
  </si>
  <si>
    <t>Reforma da área da disciplina de Microbiologia.</t>
  </si>
  <si>
    <t>80/2024</t>
  </si>
  <si>
    <t>serviço de limpeza</t>
  </si>
  <si>
    <t>68/2024</t>
  </si>
  <si>
    <t>69/2025</t>
  </si>
  <si>
    <t>intercâmbio cultural</t>
  </si>
  <si>
    <t>Medicina</t>
  </si>
  <si>
    <t>OUTROS SERVIÇOS DE RECREAÇÃO E DIVERSÃO</t>
  </si>
  <si>
    <t>INTERCÂMBIO CULTURAL</t>
  </si>
  <si>
    <t>71/2025</t>
  </si>
  <si>
    <t>aparelhos auditivos AASI 2</t>
  </si>
  <si>
    <t>70/2025</t>
  </si>
  <si>
    <t>aparelhos auditivos AASI</t>
  </si>
  <si>
    <t>75/2025</t>
  </si>
  <si>
    <t>Aparelho de Raio X</t>
  </si>
  <si>
    <t>APARELHO RAIOS X</t>
  </si>
  <si>
    <t>APLICAÇÃO: USO ODONTOLÓGICO, POTÊNCIA CABEÇOTE: TENSÃO DO TUBO 60 KV, ADICIONAIS: PORTÁTIL, COMPONENTES: MICROPROCESSADO, PAINEL LCD, SENSOR DIGITAL</t>
  </si>
  <si>
    <t>76/2025</t>
  </si>
  <si>
    <t>Aquisição de monitores</t>
  </si>
  <si>
    <t>MONITOR COMPUTADOR</t>
  </si>
  <si>
    <t>AJUSTE: COM REGULAGEM DE ALTURA, ALIMENTAÇÃO: BIVOLT, FORMATO TELA: ULTRAWIDE, GARANTIA ON SITE: SUPERIOR A 36, INTERATIVIDADE DA TELA: SEM INTERATIVIDADE, QUALIDADE DE IMAGEM: FULL HD, TAMANHO TELA: 23 A 30, TIPO DE TELA: LCD</t>
  </si>
  <si>
    <t>77/2025</t>
  </si>
  <si>
    <t>Aquisição de servidor NAS</t>
  </si>
  <si>
    <t>SERVIDOR</t>
  </si>
  <si>
    <t>ARMAZENAMENTO SAS: SEM DISCOS SAS, ARMAZENAMENTO SATA: SEM DISCOS SATA, ARMAZENAMENTO SSD: COM DISCOS SSD, FONTE ALIMENTAÇÃO: REDUNDANTE (SWAP/HOT PLUG), GARANTIA ON SITE: 12, INTERFACE REDE LAN: 2, INTERFACE REDE SAN: 2, MEMÓRIA RAM: 8, NÚCLEOS POR PROCESSADOR: 4, PROCESSADORES FÍSICOS: 2, SISTEMA OPERACIONAL: PROPRIETÁRIO, TIPO: RACK</t>
  </si>
  <si>
    <t>72/2025</t>
  </si>
  <si>
    <t xml:space="preserve">Microscópios para o laboratório de microscopia </t>
  </si>
  <si>
    <t>MICROSCÓPIO</t>
  </si>
  <si>
    <t>73/2025</t>
  </si>
  <si>
    <t>Fase Externa</t>
  </si>
  <si>
    <t xml:space="preserve">Reforma para adequação do anfiteatro 5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</si>
</sst>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4A39FE24-C234-4B66-84B4-B3275838F57A}" autoFormatId="16" applyNumberFormats="0" applyBorderFormats="0" applyFontFormats="0" applyPatternFormats="0" applyAlignmentFormats="0" applyWidthHeightFormats="0">
  <queryTableRefresh nextId="28">
    <queryTableFields count="27">
      <queryTableField id="1" name="Número da contratação" tableColumnId="1"/>
      <queryTableField id="2" name="Status da contratação" tableColumnId="2"/>
      <queryTableField id="3" name="Situação da Execução" tableColumnId="3"/>
      <queryTableField id="4" name="Título da contratação" tableColumnId="4"/>
      <queryTableField id="5" name="Categoria da contratação" tableColumnId="5"/>
      <queryTableField id="6" name="UASG Atual" tableColumnId="6"/>
      <queryTableField id="7" name="Data estimada para o início do processo de contratação" tableColumnId="7"/>
      <queryTableField id="8" name="Data estimada para a conclusão do processo de contratação" tableColumnId="8"/>
      <queryTableField id="9" name="Prazo estimado de duração do processo de contratação (dias)" tableColumnId="9"/>
      <queryTableField id="10" name="Área requisitante" tableColumnId="10"/>
      <queryTableField id="11" name="Nº DFD" tableColumnId="11"/>
      <queryTableField id="12" name="Prioridade" tableColumnId="12"/>
      <queryTableField id="13" name="Nº do Item no DFD" tableColumnId="13"/>
      <queryTableField id="14" name="Data da conclusão da Contratação no DFD" tableColumnId="14"/>
      <queryTableField id="15" name="Classificação da Contratação" tableColumnId="15"/>
      <queryTableField id="16" name="Código Classe/Grupo" tableColumnId="16"/>
      <queryTableField id="17" name="Nome Classe/Grupo" tableColumnId="17"/>
      <queryTableField id="18" name="Código PDM material" tableColumnId="18"/>
      <queryTableField id="19" name="Nome do PDM material" tableColumnId="19"/>
      <queryTableField id="20" name="Código material/serviço" tableColumnId="20"/>
      <queryTableField id="21" name="Descrição material/serviço" tableColumnId="21"/>
      <queryTableField id="22" name="Unidade Fornecimento" tableColumnId="22"/>
      <queryTableField id="23" name="Valor Unitário" tableColumnId="23"/>
      <queryTableField id="24" name="Quantidade" tableColumnId="24"/>
      <queryTableField id="25" name="Valor Total" tableColumnId="25"/>
      <queryTableField id="26" name="Valor Total Contratação" tableColumnId="26"/>
      <queryTableField id="27" name="ID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7BB68E-C2B9-469A-B386-746D9D3C79D2}" name="formacao_pca" displayName="formacao_pca" ref="A1:AA119" tableType="queryTable" totalsRowShown="0">
  <autoFilter ref="A1:AA119" xr:uid="{277BB68E-C2B9-469A-B386-746D9D3C79D2}"/>
  <tableColumns count="27">
    <tableColumn id="1" xr3:uid="{C3109419-EC28-40F4-8F3E-22980B317D53}" uniqueName="1" name="Número da contratação" queryTableFieldId="1" dataDxfId="15"/>
    <tableColumn id="2" xr3:uid="{2DC71960-5FA9-4FD1-926F-749B34751D2A}" uniqueName="2" name="Status da contratação" queryTableFieldId="2" dataDxfId="14"/>
    <tableColumn id="3" xr3:uid="{264E2011-B2F2-458B-8674-21408CAF979D}" uniqueName="3" name="Situação da Execução" queryTableFieldId="3" dataDxfId="13"/>
    <tableColumn id="4" xr3:uid="{EF9EF0E5-DA2C-4A57-BC6D-B345E8D026B3}" uniqueName="4" name="Título da contratação" queryTableFieldId="4" dataDxfId="12"/>
    <tableColumn id="5" xr3:uid="{9C5B52B7-888E-4C52-978C-0F800D8DFF94}" uniqueName="5" name="Categoria da contratação" queryTableFieldId="5" dataDxfId="11"/>
    <tableColumn id="6" xr3:uid="{8970BBFC-EF0E-4AA0-A851-8E9426F105C3}" uniqueName="6" name="UASG Atual" queryTableFieldId="6"/>
    <tableColumn id="7" xr3:uid="{E0CBD223-0FEB-43CB-BF83-68D81C6967F0}" uniqueName="7" name="Data estimada para o início do processo de contratação" queryTableFieldId="7" dataDxfId="10"/>
    <tableColumn id="8" xr3:uid="{D762D0B6-5315-4A35-B505-40A8485B9060}" uniqueName="8" name="Data estimada para a conclusão do processo de contratação" queryTableFieldId="8" dataDxfId="9"/>
    <tableColumn id="9" xr3:uid="{E1BE1F1F-E2C6-4B40-91A5-4AC3DA8B6AC0}" uniqueName="9" name="Prazo estimado de duração do processo de contratação (dias)" queryTableFieldId="9"/>
    <tableColumn id="10" xr3:uid="{87B9815A-D39B-43F4-A90B-661D4662D190}" uniqueName="10" name="Área requisitante" queryTableFieldId="10" dataDxfId="8"/>
    <tableColumn id="11" xr3:uid="{E966D32B-727A-4258-9C3C-892D0FBE0464}" uniqueName="11" name="Nº DFD" queryTableFieldId="11" dataDxfId="7"/>
    <tableColumn id="12" xr3:uid="{74648E64-9DDE-44EF-A994-B8C4F80E27AE}" uniqueName="12" name="Prioridade" queryTableFieldId="12" dataDxfId="6"/>
    <tableColumn id="13" xr3:uid="{5C213E56-4AB6-4CFB-985B-1EC04EA21CA2}" uniqueName="13" name="Nº do Item no DFD" queryTableFieldId="13"/>
    <tableColumn id="14" xr3:uid="{C10412B8-6361-4208-93AA-6D799942FD9C}" uniqueName="14" name="Data da conclusão da Contratação no DFD" queryTableFieldId="14" dataDxfId="5"/>
    <tableColumn id="15" xr3:uid="{DDF61436-7BCC-4405-B234-2BA6892DB407}" uniqueName="15" name="Classificação da Contratação" queryTableFieldId="15" dataDxfId="4"/>
    <tableColumn id="16" xr3:uid="{7EB46261-4DDA-4325-9E74-1482BE3E48EB}" uniqueName="16" name="Código Classe/Grupo" queryTableFieldId="16"/>
    <tableColumn id="17" xr3:uid="{0F42CA69-E955-4C45-9F69-3D08A5136CA0}" uniqueName="17" name="Nome Classe/Grupo" queryTableFieldId="17" dataDxfId="3"/>
    <tableColumn id="18" xr3:uid="{F2F37889-59B2-4F0B-9E39-D614E978301F}" uniqueName="18" name="Código PDM material" queryTableFieldId="18"/>
    <tableColumn id="19" xr3:uid="{63085183-6C4B-49A4-9498-8DE6A82D3A1C}" uniqueName="19" name="Nome do PDM material" queryTableFieldId="19" dataDxfId="2"/>
    <tableColumn id="20" xr3:uid="{3F128692-DD62-4544-8DC9-A6B01DA23240}" uniqueName="20" name="Código material/serviço" queryTableFieldId="20"/>
    <tableColumn id="21" xr3:uid="{FE3D4ED7-23F5-484B-9D49-516AE922000C}" uniqueName="21" name="Descrição material/serviço" queryTableFieldId="21" dataDxfId="1"/>
    <tableColumn id="22" xr3:uid="{7C48B884-9574-4207-A2D2-4ADD1E0F7B69}" uniqueName="22" name="Unidade Fornecimento" queryTableFieldId="22" dataDxfId="0"/>
    <tableColumn id="23" xr3:uid="{80678C2C-09AA-4C72-A95B-A9442674E8D4}" uniqueName="23" name="Valor Unitário" queryTableFieldId="23"/>
    <tableColumn id="24" xr3:uid="{4A8507CC-F98B-406B-BE7C-AB47FD92F931}" uniqueName="24" name="Quantidade" queryTableFieldId="24"/>
    <tableColumn id="25" xr3:uid="{BBB1C368-B7DF-4A2C-B1ED-9E15593F78FE}" uniqueName="25" name="Valor Total" queryTableFieldId="25"/>
    <tableColumn id="26" xr3:uid="{BB88007A-CCF9-4E9B-8804-CB4D3E4A958B}" uniqueName="26" name="Valor Total Contratação" queryTableFieldId="26"/>
    <tableColumn id="27" xr3:uid="{EB466C09-F0C5-4D5D-8216-628A7B13C9CB}" uniqueName="27" name="ID" queryTableFieldId="2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64961-77D0-42F8-826C-6C6C6B0DDD43}">
  <sheetPr codeName="Planilha1"/>
  <dimension ref="A1:XAU119"/>
  <sheetViews>
    <sheetView workbookViewId="0">
      <selection activeCell="B13" sqref="B13"/>
    </sheetView>
  </sheetViews>
  <sheetFormatPr defaultRowHeight="15" x14ac:dyDescent="0.25"/>
  <cols>
    <col min="1" max="1" width="4" bestFit="1" customWidth="1"/>
    <col min="2" max="2" width="104.85546875" bestFit="1" customWidth="1"/>
    <col min="3" max="3" width="20.28515625" bestFit="1" customWidth="1"/>
    <col min="4" max="4" width="19.140625" bestFit="1" customWidth="1"/>
    <col min="5" max="5" width="16.42578125" bestFit="1" customWidth="1"/>
  </cols>
  <sheetData>
    <row r="1" spans="1:7 16271:16271" x14ac:dyDescent="0.25">
      <c r="A1" t="s">
        <v>48</v>
      </c>
      <c r="B1" t="s">
        <v>49</v>
      </c>
      <c r="C1" t="s">
        <v>52</v>
      </c>
      <c r="D1" t="s">
        <v>50</v>
      </c>
      <c r="E1" t="s">
        <v>51</v>
      </c>
      <c r="XAU1" t="str" cm="1">
        <f t="array" aca="1" ref="XAU1" ca="1">SUBSTITUTE(LEFT(CELL("filename",A1),FIND("[",CELL("filename",A1))-1),"/","\")</f>
        <v>C:\Users\7682814\Desktop\Projetos\Dashboard PCA 2025\</v>
      </c>
    </row>
    <row r="2" spans="1:7 16271:16271" x14ac:dyDescent="0.25">
      <c r="A2">
        <v>1</v>
      </c>
      <c r="B2" t="s">
        <v>169</v>
      </c>
      <c r="C2" t="s">
        <v>170</v>
      </c>
      <c r="D2" t="s">
        <v>39</v>
      </c>
      <c r="E2" t="s">
        <v>171</v>
      </c>
    </row>
    <row r="3" spans="1:7 16271:16271" x14ac:dyDescent="0.25">
      <c r="A3">
        <v>2</v>
      </c>
      <c r="B3" t="s">
        <v>172</v>
      </c>
      <c r="C3" t="s">
        <v>173</v>
      </c>
      <c r="D3" t="s">
        <v>174</v>
      </c>
      <c r="E3" s="1">
        <v>45750</v>
      </c>
    </row>
    <row r="4" spans="1:7 16271:16271" x14ac:dyDescent="0.25">
      <c r="A4">
        <v>3</v>
      </c>
      <c r="B4" t="s">
        <v>175</v>
      </c>
      <c r="C4" t="s">
        <v>173</v>
      </c>
      <c r="D4" t="s">
        <v>22</v>
      </c>
      <c r="E4" s="1">
        <v>45750</v>
      </c>
    </row>
    <row r="5" spans="1:7 16271:16271" x14ac:dyDescent="0.25">
      <c r="A5">
        <v>4</v>
      </c>
      <c r="B5" t="s">
        <v>2</v>
      </c>
      <c r="C5" t="s">
        <v>176</v>
      </c>
      <c r="D5" t="s">
        <v>20</v>
      </c>
      <c r="E5" t="s">
        <v>177</v>
      </c>
    </row>
    <row r="6" spans="1:7 16271:16271" x14ac:dyDescent="0.25">
      <c r="A6">
        <v>5</v>
      </c>
      <c r="B6" t="s">
        <v>178</v>
      </c>
      <c r="C6" t="s">
        <v>176</v>
      </c>
      <c r="D6" t="s">
        <v>3</v>
      </c>
      <c r="E6" t="s">
        <v>177</v>
      </c>
    </row>
    <row r="7" spans="1:7 16271:16271" x14ac:dyDescent="0.25">
      <c r="A7">
        <v>6</v>
      </c>
      <c r="B7" t="s">
        <v>2</v>
      </c>
      <c r="C7" t="s">
        <v>176</v>
      </c>
      <c r="D7" t="s">
        <v>6</v>
      </c>
      <c r="E7" t="s">
        <v>177</v>
      </c>
    </row>
    <row r="8" spans="1:7 16271:16271" x14ac:dyDescent="0.25">
      <c r="A8">
        <v>7</v>
      </c>
      <c r="B8" t="s">
        <v>179</v>
      </c>
      <c r="C8" t="s">
        <v>176</v>
      </c>
      <c r="D8" t="s">
        <v>6</v>
      </c>
      <c r="E8" t="s">
        <v>177</v>
      </c>
    </row>
    <row r="9" spans="1:7 16271:16271" x14ac:dyDescent="0.25">
      <c r="A9">
        <v>8</v>
      </c>
      <c r="B9" t="s">
        <v>172</v>
      </c>
      <c r="C9" t="s">
        <v>180</v>
      </c>
      <c r="D9" t="s">
        <v>181</v>
      </c>
      <c r="E9" t="s">
        <v>182</v>
      </c>
      <c r="G9" s="3" t="s">
        <v>167</v>
      </c>
    </row>
    <row r="10" spans="1:7 16271:16271" x14ac:dyDescent="0.25">
      <c r="A10">
        <v>9</v>
      </c>
      <c r="B10" t="s">
        <v>183</v>
      </c>
      <c r="C10" t="s">
        <v>184</v>
      </c>
      <c r="D10" t="s">
        <v>185</v>
      </c>
      <c r="E10" s="1">
        <v>45718</v>
      </c>
      <c r="G10" s="3" t="s">
        <v>168</v>
      </c>
    </row>
    <row r="11" spans="1:7 16271:16271" x14ac:dyDescent="0.25">
      <c r="A11">
        <v>10</v>
      </c>
      <c r="B11" t="s">
        <v>183</v>
      </c>
      <c r="C11" t="s">
        <v>184</v>
      </c>
      <c r="D11" t="s">
        <v>185</v>
      </c>
      <c r="E11" s="1">
        <v>45718</v>
      </c>
    </row>
    <row r="12" spans="1:7 16271:16271" x14ac:dyDescent="0.25">
      <c r="A12">
        <v>12</v>
      </c>
      <c r="B12" t="s">
        <v>186</v>
      </c>
      <c r="C12" t="s">
        <v>187</v>
      </c>
      <c r="D12" t="s">
        <v>5</v>
      </c>
      <c r="E12" s="1">
        <v>45876</v>
      </c>
    </row>
    <row r="13" spans="1:7 16271:16271" x14ac:dyDescent="0.25">
      <c r="A13">
        <v>13</v>
      </c>
      <c r="B13" t="s">
        <v>188</v>
      </c>
      <c r="C13" t="s">
        <v>189</v>
      </c>
      <c r="D13" t="s">
        <v>33</v>
      </c>
      <c r="E13" s="1">
        <v>45934</v>
      </c>
    </row>
    <row r="14" spans="1:7 16271:16271" x14ac:dyDescent="0.25">
      <c r="A14">
        <v>14</v>
      </c>
      <c r="B14" t="s">
        <v>188</v>
      </c>
      <c r="C14" t="s">
        <v>189</v>
      </c>
      <c r="D14" t="s">
        <v>5</v>
      </c>
      <c r="E14" s="1">
        <v>45934</v>
      </c>
    </row>
    <row r="15" spans="1:7 16271:16271" x14ac:dyDescent="0.25">
      <c r="A15">
        <v>15</v>
      </c>
      <c r="B15" t="s">
        <v>188</v>
      </c>
      <c r="C15" t="s">
        <v>190</v>
      </c>
      <c r="D15" t="s">
        <v>191</v>
      </c>
      <c r="E15" t="s">
        <v>192</v>
      </c>
    </row>
    <row r="16" spans="1:7 16271:16271" x14ac:dyDescent="0.25">
      <c r="A16">
        <v>16</v>
      </c>
      <c r="B16" t="s">
        <v>188</v>
      </c>
      <c r="C16" t="s">
        <v>190</v>
      </c>
      <c r="D16" t="s">
        <v>33</v>
      </c>
      <c r="E16" t="s">
        <v>192</v>
      </c>
    </row>
    <row r="17" spans="1:5" x14ac:dyDescent="0.25">
      <c r="A17">
        <v>17</v>
      </c>
      <c r="B17" t="s">
        <v>188</v>
      </c>
      <c r="C17" t="s">
        <v>190</v>
      </c>
      <c r="D17" t="s">
        <v>193</v>
      </c>
      <c r="E17" t="s">
        <v>192</v>
      </c>
    </row>
    <row r="18" spans="1:5" x14ac:dyDescent="0.25">
      <c r="A18">
        <v>18</v>
      </c>
      <c r="B18" t="s">
        <v>186</v>
      </c>
      <c r="C18" t="s">
        <v>194</v>
      </c>
      <c r="D18" t="s">
        <v>195</v>
      </c>
      <c r="E18" t="s">
        <v>196</v>
      </c>
    </row>
    <row r="19" spans="1:5" x14ac:dyDescent="0.25">
      <c r="A19">
        <v>19</v>
      </c>
      <c r="B19" t="s">
        <v>197</v>
      </c>
      <c r="C19" t="s">
        <v>194</v>
      </c>
      <c r="D19" t="s">
        <v>4</v>
      </c>
      <c r="E19" t="s">
        <v>196</v>
      </c>
    </row>
    <row r="20" spans="1:5" x14ac:dyDescent="0.25">
      <c r="A20">
        <v>20</v>
      </c>
      <c r="B20" t="s">
        <v>186</v>
      </c>
      <c r="C20" t="s">
        <v>194</v>
      </c>
      <c r="D20" t="s">
        <v>35</v>
      </c>
      <c r="E20" t="s">
        <v>196</v>
      </c>
    </row>
    <row r="21" spans="1:5" x14ac:dyDescent="0.25">
      <c r="A21">
        <v>21</v>
      </c>
      <c r="B21" t="s">
        <v>186</v>
      </c>
      <c r="C21" t="s">
        <v>194</v>
      </c>
      <c r="D21" t="s">
        <v>198</v>
      </c>
      <c r="E21" t="s">
        <v>196</v>
      </c>
    </row>
    <row r="22" spans="1:5" x14ac:dyDescent="0.25">
      <c r="A22">
        <v>22</v>
      </c>
      <c r="B22" t="s">
        <v>199</v>
      </c>
      <c r="C22" t="s">
        <v>200</v>
      </c>
      <c r="D22" t="s">
        <v>20</v>
      </c>
      <c r="E22" t="s">
        <v>201</v>
      </c>
    </row>
    <row r="23" spans="1:5" x14ac:dyDescent="0.25">
      <c r="A23">
        <v>23</v>
      </c>
      <c r="B23" t="s">
        <v>202</v>
      </c>
      <c r="C23" t="s">
        <v>203</v>
      </c>
      <c r="D23" t="s">
        <v>26</v>
      </c>
      <c r="E23" t="s">
        <v>204</v>
      </c>
    </row>
    <row r="24" spans="1:5" x14ac:dyDescent="0.25">
      <c r="A24">
        <v>24</v>
      </c>
      <c r="B24" t="s">
        <v>205</v>
      </c>
      <c r="C24" t="s">
        <v>203</v>
      </c>
      <c r="D24" t="s">
        <v>6</v>
      </c>
      <c r="E24" t="s">
        <v>204</v>
      </c>
    </row>
    <row r="25" spans="1:5" x14ac:dyDescent="0.25">
      <c r="A25">
        <v>25</v>
      </c>
      <c r="B25" t="s">
        <v>206</v>
      </c>
      <c r="C25" t="s">
        <v>203</v>
      </c>
      <c r="D25" t="s">
        <v>40</v>
      </c>
      <c r="E25" t="s">
        <v>204</v>
      </c>
    </row>
    <row r="26" spans="1:5" x14ac:dyDescent="0.25">
      <c r="A26">
        <v>26</v>
      </c>
      <c r="B26" t="s">
        <v>205</v>
      </c>
      <c r="C26" t="s">
        <v>203</v>
      </c>
      <c r="D26" t="s">
        <v>23</v>
      </c>
      <c r="E26" t="s">
        <v>204</v>
      </c>
    </row>
    <row r="27" spans="1:5" x14ac:dyDescent="0.25">
      <c r="A27">
        <v>27</v>
      </c>
      <c r="B27" t="s">
        <v>205</v>
      </c>
      <c r="C27" t="s">
        <v>203</v>
      </c>
      <c r="D27" t="s">
        <v>6</v>
      </c>
      <c r="E27" t="s">
        <v>204</v>
      </c>
    </row>
    <row r="28" spans="1:5" x14ac:dyDescent="0.25">
      <c r="A28">
        <v>28</v>
      </c>
      <c r="B28" t="s">
        <v>207</v>
      </c>
      <c r="C28" t="s">
        <v>208</v>
      </c>
      <c r="D28" t="s">
        <v>209</v>
      </c>
      <c r="E28" s="1" t="s">
        <v>210</v>
      </c>
    </row>
    <row r="29" spans="1:5" x14ac:dyDescent="0.25">
      <c r="A29">
        <v>29</v>
      </c>
      <c r="B29" t="s">
        <v>211</v>
      </c>
      <c r="C29" t="s">
        <v>208</v>
      </c>
      <c r="D29" t="s">
        <v>212</v>
      </c>
      <c r="E29" t="s">
        <v>210</v>
      </c>
    </row>
    <row r="30" spans="1:5" x14ac:dyDescent="0.25">
      <c r="A30">
        <v>30</v>
      </c>
      <c r="B30" t="s">
        <v>213</v>
      </c>
      <c r="C30" t="s">
        <v>208</v>
      </c>
      <c r="D30" t="s">
        <v>20</v>
      </c>
      <c r="E30" t="s">
        <v>210</v>
      </c>
    </row>
    <row r="31" spans="1:5" x14ac:dyDescent="0.25">
      <c r="A31">
        <v>31</v>
      </c>
      <c r="B31" t="s">
        <v>214</v>
      </c>
      <c r="C31" t="s">
        <v>215</v>
      </c>
      <c r="D31" t="s">
        <v>216</v>
      </c>
      <c r="E31" s="1">
        <v>45780</v>
      </c>
    </row>
    <row r="32" spans="1:5" x14ac:dyDescent="0.25">
      <c r="A32">
        <v>32</v>
      </c>
      <c r="B32" t="s">
        <v>202</v>
      </c>
      <c r="C32" t="s">
        <v>217</v>
      </c>
      <c r="D32" t="s">
        <v>1</v>
      </c>
      <c r="E32" t="s">
        <v>218</v>
      </c>
    </row>
    <row r="33" spans="1:5" x14ac:dyDescent="0.25">
      <c r="A33">
        <v>33</v>
      </c>
      <c r="B33" t="s">
        <v>219</v>
      </c>
      <c r="C33" t="s">
        <v>217</v>
      </c>
      <c r="D33" t="s">
        <v>20</v>
      </c>
      <c r="E33" t="s">
        <v>218</v>
      </c>
    </row>
    <row r="34" spans="1:5" x14ac:dyDescent="0.25">
      <c r="A34">
        <v>34</v>
      </c>
      <c r="B34" t="s">
        <v>220</v>
      </c>
      <c r="C34" t="s">
        <v>217</v>
      </c>
      <c r="D34" t="s">
        <v>5</v>
      </c>
      <c r="E34" t="s">
        <v>218</v>
      </c>
    </row>
    <row r="35" spans="1:5" x14ac:dyDescent="0.25">
      <c r="A35">
        <v>35</v>
      </c>
      <c r="B35" t="s">
        <v>221</v>
      </c>
      <c r="C35" t="s">
        <v>217</v>
      </c>
      <c r="D35" t="s">
        <v>32</v>
      </c>
      <c r="E35" t="s">
        <v>218</v>
      </c>
    </row>
    <row r="36" spans="1:5" x14ac:dyDescent="0.25">
      <c r="A36">
        <v>36</v>
      </c>
      <c r="B36" t="s">
        <v>222</v>
      </c>
      <c r="C36" t="s">
        <v>217</v>
      </c>
      <c r="D36" t="s">
        <v>1</v>
      </c>
      <c r="E36" t="s">
        <v>218</v>
      </c>
    </row>
    <row r="37" spans="1:5" x14ac:dyDescent="0.25">
      <c r="A37">
        <v>37</v>
      </c>
      <c r="B37" t="s">
        <v>223</v>
      </c>
      <c r="C37" t="s">
        <v>217</v>
      </c>
      <c r="D37" t="s">
        <v>3</v>
      </c>
      <c r="E37" s="1" t="s">
        <v>218</v>
      </c>
    </row>
    <row r="38" spans="1:5" x14ac:dyDescent="0.25">
      <c r="A38">
        <v>38</v>
      </c>
      <c r="B38" t="s">
        <v>202</v>
      </c>
      <c r="C38" t="s">
        <v>224</v>
      </c>
      <c r="D38" t="s">
        <v>26</v>
      </c>
      <c r="E38" s="1" t="s">
        <v>218</v>
      </c>
    </row>
    <row r="39" spans="1:5" x14ac:dyDescent="0.25">
      <c r="A39">
        <v>39</v>
      </c>
      <c r="B39" t="s">
        <v>205</v>
      </c>
      <c r="C39" t="s">
        <v>224</v>
      </c>
      <c r="D39" t="s">
        <v>225</v>
      </c>
      <c r="E39" s="1" t="s">
        <v>218</v>
      </c>
    </row>
    <row r="40" spans="1:5" x14ac:dyDescent="0.25">
      <c r="A40">
        <v>40</v>
      </c>
      <c r="B40" t="s">
        <v>226</v>
      </c>
      <c r="C40" t="s">
        <v>224</v>
      </c>
      <c r="D40" t="s">
        <v>4</v>
      </c>
      <c r="E40" t="s">
        <v>218</v>
      </c>
    </row>
    <row r="41" spans="1:5" x14ac:dyDescent="0.25">
      <c r="A41">
        <v>41</v>
      </c>
      <c r="B41" t="s">
        <v>179</v>
      </c>
      <c r="C41" t="s">
        <v>227</v>
      </c>
      <c r="D41" t="s">
        <v>20</v>
      </c>
      <c r="E41" t="s">
        <v>228</v>
      </c>
    </row>
    <row r="42" spans="1:5" x14ac:dyDescent="0.25">
      <c r="A42">
        <v>42</v>
      </c>
      <c r="B42" t="s">
        <v>229</v>
      </c>
      <c r="C42" t="s">
        <v>227</v>
      </c>
      <c r="D42" t="s">
        <v>4</v>
      </c>
      <c r="E42" t="s">
        <v>228</v>
      </c>
    </row>
    <row r="43" spans="1:5" x14ac:dyDescent="0.25">
      <c r="A43">
        <v>43</v>
      </c>
      <c r="B43" t="s">
        <v>229</v>
      </c>
      <c r="C43" t="s">
        <v>227</v>
      </c>
      <c r="D43" t="s">
        <v>212</v>
      </c>
      <c r="E43" t="s">
        <v>228</v>
      </c>
    </row>
    <row r="44" spans="1:5" x14ac:dyDescent="0.25">
      <c r="A44">
        <v>44</v>
      </c>
      <c r="B44" t="s">
        <v>197</v>
      </c>
      <c r="C44" t="s">
        <v>230</v>
      </c>
      <c r="D44" t="s">
        <v>231</v>
      </c>
      <c r="E44" t="s">
        <v>232</v>
      </c>
    </row>
    <row r="45" spans="1:5" x14ac:dyDescent="0.25">
      <c r="A45">
        <v>45</v>
      </c>
      <c r="B45" t="s">
        <v>186</v>
      </c>
      <c r="C45" t="s">
        <v>230</v>
      </c>
      <c r="D45" t="s">
        <v>33</v>
      </c>
      <c r="E45" t="s">
        <v>232</v>
      </c>
    </row>
    <row r="46" spans="1:5" x14ac:dyDescent="0.25">
      <c r="A46">
        <v>46</v>
      </c>
      <c r="B46" t="s">
        <v>188</v>
      </c>
      <c r="C46" t="s">
        <v>233</v>
      </c>
      <c r="D46" t="s">
        <v>234</v>
      </c>
      <c r="E46" s="1">
        <v>45909</v>
      </c>
    </row>
    <row r="47" spans="1:5" x14ac:dyDescent="0.25">
      <c r="A47">
        <v>47</v>
      </c>
      <c r="B47" t="s">
        <v>188</v>
      </c>
      <c r="C47" t="s">
        <v>233</v>
      </c>
      <c r="D47" t="s">
        <v>235</v>
      </c>
      <c r="E47" s="1">
        <v>45909</v>
      </c>
    </row>
    <row r="48" spans="1:5" x14ac:dyDescent="0.25">
      <c r="A48">
        <v>48</v>
      </c>
      <c r="B48" t="s">
        <v>188</v>
      </c>
      <c r="C48" t="s">
        <v>236</v>
      </c>
      <c r="D48" t="s">
        <v>29</v>
      </c>
      <c r="E48" s="1">
        <v>45755</v>
      </c>
    </row>
    <row r="49" spans="1:5" x14ac:dyDescent="0.25">
      <c r="A49">
        <v>49</v>
      </c>
      <c r="B49" t="s">
        <v>237</v>
      </c>
      <c r="C49" t="s">
        <v>236</v>
      </c>
      <c r="D49" t="s">
        <v>13</v>
      </c>
      <c r="E49" s="1">
        <v>45755</v>
      </c>
    </row>
    <row r="50" spans="1:5" x14ac:dyDescent="0.25">
      <c r="A50">
        <v>50</v>
      </c>
      <c r="B50" t="s">
        <v>238</v>
      </c>
      <c r="C50" t="s">
        <v>239</v>
      </c>
      <c r="D50" t="s">
        <v>240</v>
      </c>
      <c r="E50" s="1">
        <v>45754</v>
      </c>
    </row>
    <row r="51" spans="1:5" x14ac:dyDescent="0.25">
      <c r="A51">
        <v>51</v>
      </c>
      <c r="B51" t="s">
        <v>186</v>
      </c>
      <c r="C51" t="s">
        <v>239</v>
      </c>
      <c r="D51" t="s">
        <v>241</v>
      </c>
      <c r="E51" s="1">
        <v>45754</v>
      </c>
    </row>
    <row r="52" spans="1:5" x14ac:dyDescent="0.25">
      <c r="A52">
        <v>52</v>
      </c>
      <c r="B52" t="s">
        <v>7</v>
      </c>
      <c r="C52" t="s">
        <v>302</v>
      </c>
      <c r="D52" t="s">
        <v>19</v>
      </c>
      <c r="E52" t="s">
        <v>303</v>
      </c>
    </row>
    <row r="53" spans="1:5" x14ac:dyDescent="0.25">
      <c r="A53">
        <v>53</v>
      </c>
      <c r="B53" t="s">
        <v>7</v>
      </c>
      <c r="C53" t="s">
        <v>302</v>
      </c>
      <c r="D53" t="s">
        <v>304</v>
      </c>
      <c r="E53" t="s">
        <v>303</v>
      </c>
    </row>
    <row r="54" spans="1:5" x14ac:dyDescent="0.25">
      <c r="A54">
        <v>54</v>
      </c>
      <c r="B54" t="s">
        <v>7</v>
      </c>
      <c r="C54" t="s">
        <v>302</v>
      </c>
      <c r="D54" t="s">
        <v>305</v>
      </c>
      <c r="E54" t="s">
        <v>303</v>
      </c>
    </row>
    <row r="55" spans="1:5" x14ac:dyDescent="0.25">
      <c r="A55">
        <v>55</v>
      </c>
      <c r="B55" t="s">
        <v>306</v>
      </c>
      <c r="C55" t="s">
        <v>302</v>
      </c>
      <c r="D55" t="s">
        <v>307</v>
      </c>
      <c r="E55" t="s">
        <v>303</v>
      </c>
    </row>
    <row r="56" spans="1:5" x14ac:dyDescent="0.25">
      <c r="A56">
        <v>56</v>
      </c>
      <c r="B56" t="s">
        <v>308</v>
      </c>
      <c r="C56" t="s">
        <v>309</v>
      </c>
      <c r="D56" t="s">
        <v>310</v>
      </c>
      <c r="E56" s="1">
        <v>45997</v>
      </c>
    </row>
    <row r="57" spans="1:5" x14ac:dyDescent="0.25">
      <c r="A57">
        <v>57</v>
      </c>
      <c r="B57" t="s">
        <v>17</v>
      </c>
      <c r="C57" t="s">
        <v>309</v>
      </c>
      <c r="D57" t="s">
        <v>311</v>
      </c>
      <c r="E57" s="1">
        <v>45997</v>
      </c>
    </row>
    <row r="58" spans="1:5" x14ac:dyDescent="0.25">
      <c r="A58">
        <v>58</v>
      </c>
      <c r="B58" t="s">
        <v>312</v>
      </c>
      <c r="C58" t="s">
        <v>309</v>
      </c>
      <c r="D58" t="s">
        <v>44</v>
      </c>
      <c r="E58" s="1">
        <v>45997</v>
      </c>
    </row>
    <row r="59" spans="1:5" x14ac:dyDescent="0.25">
      <c r="A59">
        <v>59</v>
      </c>
      <c r="B59" t="s">
        <v>313</v>
      </c>
      <c r="C59" t="s">
        <v>309</v>
      </c>
      <c r="D59" t="s">
        <v>5</v>
      </c>
      <c r="E59" s="1">
        <v>45997</v>
      </c>
    </row>
    <row r="60" spans="1:5" x14ac:dyDescent="0.25">
      <c r="A60">
        <v>60</v>
      </c>
      <c r="B60" t="s">
        <v>314</v>
      </c>
      <c r="C60" t="s">
        <v>315</v>
      </c>
      <c r="D60" t="s">
        <v>316</v>
      </c>
      <c r="E60" s="1" t="s">
        <v>317</v>
      </c>
    </row>
    <row r="61" spans="1:5" x14ac:dyDescent="0.25">
      <c r="A61">
        <v>61</v>
      </c>
      <c r="B61" t="s">
        <v>21</v>
      </c>
      <c r="C61" t="s">
        <v>318</v>
      </c>
      <c r="D61" t="s">
        <v>6</v>
      </c>
      <c r="E61" s="1">
        <v>45934</v>
      </c>
    </row>
    <row r="62" spans="1:5" x14ac:dyDescent="0.25">
      <c r="A62">
        <v>62</v>
      </c>
      <c r="B62" t="s">
        <v>21</v>
      </c>
      <c r="C62" t="s">
        <v>318</v>
      </c>
      <c r="D62" t="s">
        <v>319</v>
      </c>
      <c r="E62" s="1">
        <v>45934</v>
      </c>
    </row>
    <row r="63" spans="1:5" x14ac:dyDescent="0.25">
      <c r="A63">
        <v>63</v>
      </c>
      <c r="B63" t="s">
        <v>30</v>
      </c>
      <c r="C63" t="s">
        <v>248</v>
      </c>
      <c r="D63" t="s">
        <v>249</v>
      </c>
      <c r="E63" t="s">
        <v>250</v>
      </c>
    </row>
    <row r="64" spans="1:5" x14ac:dyDescent="0.25">
      <c r="A64">
        <v>64</v>
      </c>
      <c r="B64" t="s">
        <v>251</v>
      </c>
      <c r="C64" t="s">
        <v>248</v>
      </c>
      <c r="D64" t="s">
        <v>252</v>
      </c>
      <c r="E64" t="s">
        <v>250</v>
      </c>
    </row>
    <row r="65" spans="1:5" x14ac:dyDescent="0.25">
      <c r="A65">
        <v>65</v>
      </c>
      <c r="B65" t="s">
        <v>47</v>
      </c>
      <c r="C65" t="s">
        <v>242</v>
      </c>
      <c r="D65" t="s">
        <v>6</v>
      </c>
      <c r="E65" s="1">
        <v>45809</v>
      </c>
    </row>
    <row r="66" spans="1:5" x14ac:dyDescent="0.25">
      <c r="A66">
        <v>66</v>
      </c>
      <c r="B66" t="s">
        <v>226</v>
      </c>
      <c r="C66" t="s">
        <v>320</v>
      </c>
      <c r="D66" t="s">
        <v>6</v>
      </c>
      <c r="E66" s="1" t="s">
        <v>303</v>
      </c>
    </row>
    <row r="67" spans="1:5" x14ac:dyDescent="0.25">
      <c r="A67">
        <v>67</v>
      </c>
      <c r="B67" t="s">
        <v>0</v>
      </c>
      <c r="C67" t="s">
        <v>321</v>
      </c>
      <c r="D67" t="s">
        <v>6</v>
      </c>
      <c r="E67" s="1">
        <v>45718</v>
      </c>
    </row>
    <row r="68" spans="1:5" x14ac:dyDescent="0.25">
      <c r="A68">
        <v>68</v>
      </c>
      <c r="B68" t="s">
        <v>322</v>
      </c>
      <c r="C68" t="s">
        <v>321</v>
      </c>
      <c r="D68" t="s">
        <v>307</v>
      </c>
      <c r="E68" s="1">
        <v>45718</v>
      </c>
    </row>
    <row r="69" spans="1:5" x14ac:dyDescent="0.25">
      <c r="A69">
        <v>69</v>
      </c>
      <c r="B69" t="s">
        <v>323</v>
      </c>
      <c r="C69" t="s">
        <v>324</v>
      </c>
      <c r="D69" t="s">
        <v>325</v>
      </c>
      <c r="E69" s="1">
        <v>45840</v>
      </c>
    </row>
    <row r="70" spans="1:5" x14ac:dyDescent="0.25">
      <c r="A70">
        <v>70</v>
      </c>
      <c r="B70" t="s">
        <v>326</v>
      </c>
      <c r="C70" t="s">
        <v>327</v>
      </c>
      <c r="D70" t="s">
        <v>5</v>
      </c>
      <c r="E70" t="s">
        <v>328</v>
      </c>
    </row>
    <row r="71" spans="1:5" x14ac:dyDescent="0.25">
      <c r="A71">
        <v>71</v>
      </c>
      <c r="B71" t="s">
        <v>329</v>
      </c>
      <c r="C71" t="s">
        <v>330</v>
      </c>
      <c r="D71" t="s">
        <v>14</v>
      </c>
      <c r="E71" t="s">
        <v>247</v>
      </c>
    </row>
    <row r="72" spans="1:5" x14ac:dyDescent="0.25">
      <c r="A72">
        <v>72</v>
      </c>
      <c r="B72" t="s">
        <v>10</v>
      </c>
      <c r="C72" t="s">
        <v>331</v>
      </c>
      <c r="D72" t="s">
        <v>332</v>
      </c>
      <c r="E72" t="s">
        <v>250</v>
      </c>
    </row>
    <row r="73" spans="1:5" x14ac:dyDescent="0.25">
      <c r="A73">
        <v>73</v>
      </c>
      <c r="B73" t="s">
        <v>10</v>
      </c>
      <c r="C73" t="s">
        <v>333</v>
      </c>
      <c r="D73" t="s">
        <v>28</v>
      </c>
      <c r="E73" t="s">
        <v>286</v>
      </c>
    </row>
    <row r="74" spans="1:5" x14ac:dyDescent="0.25">
      <c r="A74">
        <v>74</v>
      </c>
      <c r="B74" t="s">
        <v>334</v>
      </c>
      <c r="C74" t="s">
        <v>333</v>
      </c>
      <c r="D74" t="s">
        <v>28</v>
      </c>
      <c r="E74" t="s">
        <v>286</v>
      </c>
    </row>
    <row r="75" spans="1:5" x14ac:dyDescent="0.25">
      <c r="A75">
        <v>75</v>
      </c>
      <c r="B75" t="s">
        <v>9</v>
      </c>
      <c r="C75" t="s">
        <v>333</v>
      </c>
      <c r="D75" t="s">
        <v>8</v>
      </c>
      <c r="E75" t="s">
        <v>286</v>
      </c>
    </row>
    <row r="76" spans="1:5" x14ac:dyDescent="0.25">
      <c r="A76">
        <v>76</v>
      </c>
      <c r="B76" t="s">
        <v>15</v>
      </c>
      <c r="C76" t="s">
        <v>243</v>
      </c>
      <c r="D76" t="s">
        <v>11</v>
      </c>
      <c r="E76" t="s">
        <v>244</v>
      </c>
    </row>
    <row r="77" spans="1:5" x14ac:dyDescent="0.25">
      <c r="A77">
        <v>77</v>
      </c>
      <c r="B77" t="s">
        <v>15</v>
      </c>
      <c r="C77" t="s">
        <v>243</v>
      </c>
      <c r="D77" t="s">
        <v>6</v>
      </c>
      <c r="E77" t="s">
        <v>244</v>
      </c>
    </row>
    <row r="78" spans="1:5" x14ac:dyDescent="0.25">
      <c r="A78">
        <v>78</v>
      </c>
      <c r="B78" t="s">
        <v>15</v>
      </c>
      <c r="C78" t="s">
        <v>243</v>
      </c>
      <c r="D78" t="s">
        <v>20</v>
      </c>
      <c r="E78" t="s">
        <v>244</v>
      </c>
    </row>
    <row r="79" spans="1:5" x14ac:dyDescent="0.25">
      <c r="A79">
        <v>79</v>
      </c>
      <c r="B79" t="s">
        <v>335</v>
      </c>
      <c r="C79" t="s">
        <v>336</v>
      </c>
      <c r="D79" t="s">
        <v>19</v>
      </c>
      <c r="E79" t="s">
        <v>192</v>
      </c>
    </row>
    <row r="80" spans="1:5" x14ac:dyDescent="0.25">
      <c r="A80">
        <v>80</v>
      </c>
      <c r="B80" t="s">
        <v>253</v>
      </c>
      <c r="C80" t="s">
        <v>254</v>
      </c>
      <c r="D80" t="s">
        <v>255</v>
      </c>
      <c r="E80" s="1">
        <v>45664</v>
      </c>
    </row>
    <row r="81" spans="1:5" x14ac:dyDescent="0.25">
      <c r="A81">
        <v>81</v>
      </c>
      <c r="B81" t="s">
        <v>43</v>
      </c>
      <c r="C81" t="s">
        <v>256</v>
      </c>
      <c r="D81" t="s">
        <v>19</v>
      </c>
      <c r="E81" s="1" t="s">
        <v>257</v>
      </c>
    </row>
    <row r="82" spans="1:5" x14ac:dyDescent="0.25">
      <c r="A82">
        <v>82</v>
      </c>
      <c r="B82" t="s">
        <v>43</v>
      </c>
      <c r="C82" t="s">
        <v>258</v>
      </c>
      <c r="D82" t="s">
        <v>19</v>
      </c>
      <c r="E82" s="1" t="s">
        <v>259</v>
      </c>
    </row>
    <row r="83" spans="1:5" x14ac:dyDescent="0.25">
      <c r="A83">
        <v>83</v>
      </c>
      <c r="B83" t="s">
        <v>43</v>
      </c>
      <c r="C83" t="s">
        <v>260</v>
      </c>
      <c r="D83" t="s">
        <v>36</v>
      </c>
      <c r="E83" s="1">
        <v>45669</v>
      </c>
    </row>
    <row r="84" spans="1:5" x14ac:dyDescent="0.25">
      <c r="A84">
        <v>84</v>
      </c>
      <c r="B84" t="s">
        <v>34</v>
      </c>
      <c r="C84" t="s">
        <v>261</v>
      </c>
      <c r="D84" t="s">
        <v>28</v>
      </c>
      <c r="E84" s="1">
        <v>45931</v>
      </c>
    </row>
    <row r="85" spans="1:5" x14ac:dyDescent="0.25">
      <c r="A85">
        <v>86</v>
      </c>
      <c r="B85" t="s">
        <v>41</v>
      </c>
      <c r="C85" t="s">
        <v>262</v>
      </c>
      <c r="D85" t="s">
        <v>263</v>
      </c>
      <c r="E85" t="s">
        <v>218</v>
      </c>
    </row>
    <row r="86" spans="1:5" x14ac:dyDescent="0.25">
      <c r="A86">
        <v>87</v>
      </c>
      <c r="B86" t="s">
        <v>337</v>
      </c>
      <c r="C86" t="s">
        <v>338</v>
      </c>
      <c r="D86" t="s">
        <v>1</v>
      </c>
      <c r="E86" s="1">
        <v>45941</v>
      </c>
    </row>
    <row r="87" spans="1:5" x14ac:dyDescent="0.25">
      <c r="A87">
        <v>88</v>
      </c>
      <c r="B87" t="s">
        <v>339</v>
      </c>
      <c r="C87" t="s">
        <v>340</v>
      </c>
      <c r="D87" t="s">
        <v>1</v>
      </c>
      <c r="E87" s="1">
        <v>45692</v>
      </c>
    </row>
    <row r="88" spans="1:5" x14ac:dyDescent="0.25">
      <c r="A88">
        <v>89</v>
      </c>
      <c r="B88" t="s">
        <v>45</v>
      </c>
      <c r="C88" t="s">
        <v>291</v>
      </c>
      <c r="D88" t="s">
        <v>292</v>
      </c>
      <c r="E88" t="s">
        <v>293</v>
      </c>
    </row>
    <row r="89" spans="1:5" x14ac:dyDescent="0.25">
      <c r="A89">
        <v>90</v>
      </c>
      <c r="B89" t="s">
        <v>38</v>
      </c>
      <c r="C89" t="s">
        <v>264</v>
      </c>
      <c r="D89" t="s">
        <v>265</v>
      </c>
      <c r="E89" t="s">
        <v>266</v>
      </c>
    </row>
    <row r="90" spans="1:5" x14ac:dyDescent="0.25">
      <c r="A90">
        <v>91</v>
      </c>
      <c r="B90" t="s">
        <v>38</v>
      </c>
      <c r="C90" t="s">
        <v>294</v>
      </c>
      <c r="D90" t="s">
        <v>295</v>
      </c>
      <c r="E90" t="s">
        <v>296</v>
      </c>
    </row>
    <row r="91" spans="1:5" x14ac:dyDescent="0.25">
      <c r="A91">
        <v>92</v>
      </c>
      <c r="B91" t="s">
        <v>38</v>
      </c>
      <c r="C91" t="s">
        <v>245</v>
      </c>
      <c r="D91" t="s">
        <v>246</v>
      </c>
      <c r="E91" t="s">
        <v>247</v>
      </c>
    </row>
    <row r="92" spans="1:5" x14ac:dyDescent="0.25">
      <c r="A92">
        <v>93</v>
      </c>
      <c r="B92" t="s">
        <v>30</v>
      </c>
      <c r="C92" t="s">
        <v>267</v>
      </c>
      <c r="D92" t="s">
        <v>268</v>
      </c>
      <c r="E92" t="s">
        <v>269</v>
      </c>
    </row>
    <row r="93" spans="1:5" x14ac:dyDescent="0.25">
      <c r="A93">
        <v>94</v>
      </c>
      <c r="B93" t="s">
        <v>31</v>
      </c>
      <c r="C93" t="s">
        <v>270</v>
      </c>
      <c r="D93" t="s">
        <v>1</v>
      </c>
      <c r="E93" t="s">
        <v>266</v>
      </c>
    </row>
    <row r="94" spans="1:5" x14ac:dyDescent="0.25">
      <c r="A94">
        <v>95</v>
      </c>
      <c r="B94" t="s">
        <v>37</v>
      </c>
      <c r="C94" t="s">
        <v>271</v>
      </c>
      <c r="D94" t="s">
        <v>14</v>
      </c>
      <c r="E94" t="s">
        <v>272</v>
      </c>
    </row>
    <row r="95" spans="1:5" x14ac:dyDescent="0.25">
      <c r="A95">
        <v>96</v>
      </c>
      <c r="B95" t="s">
        <v>24</v>
      </c>
      <c r="C95" t="s">
        <v>273</v>
      </c>
      <c r="D95" t="s">
        <v>5</v>
      </c>
      <c r="E95" s="1">
        <v>45727</v>
      </c>
    </row>
    <row r="96" spans="1:5" x14ac:dyDescent="0.25">
      <c r="A96">
        <v>97</v>
      </c>
      <c r="B96" t="s">
        <v>274</v>
      </c>
      <c r="C96" t="s">
        <v>275</v>
      </c>
      <c r="D96" t="s">
        <v>5</v>
      </c>
      <c r="E96" t="s">
        <v>244</v>
      </c>
    </row>
    <row r="97" spans="1:5" x14ac:dyDescent="0.25">
      <c r="A97">
        <v>98</v>
      </c>
      <c r="B97" t="s">
        <v>27</v>
      </c>
      <c r="C97" t="s">
        <v>276</v>
      </c>
      <c r="D97" t="s">
        <v>1</v>
      </c>
      <c r="E97" s="1">
        <v>45933</v>
      </c>
    </row>
    <row r="98" spans="1:5" x14ac:dyDescent="0.25">
      <c r="A98">
        <v>99</v>
      </c>
      <c r="B98" t="s">
        <v>25</v>
      </c>
      <c r="C98" t="s">
        <v>277</v>
      </c>
      <c r="D98" t="s">
        <v>16</v>
      </c>
      <c r="E98" t="s">
        <v>278</v>
      </c>
    </row>
    <row r="99" spans="1:5" x14ac:dyDescent="0.25">
      <c r="A99">
        <v>100</v>
      </c>
      <c r="B99" t="s">
        <v>30</v>
      </c>
      <c r="C99" t="s">
        <v>279</v>
      </c>
      <c r="D99" t="s">
        <v>280</v>
      </c>
      <c r="E99" s="1">
        <v>45751</v>
      </c>
    </row>
    <row r="100" spans="1:5" x14ac:dyDescent="0.25">
      <c r="A100">
        <v>101</v>
      </c>
      <c r="B100" t="s">
        <v>30</v>
      </c>
      <c r="C100" t="s">
        <v>281</v>
      </c>
      <c r="D100" t="s">
        <v>42</v>
      </c>
      <c r="E100" s="1">
        <v>45809</v>
      </c>
    </row>
    <row r="101" spans="1:5" x14ac:dyDescent="0.25">
      <c r="A101">
        <v>102</v>
      </c>
      <c r="B101" t="s">
        <v>30</v>
      </c>
      <c r="C101" t="s">
        <v>282</v>
      </c>
      <c r="D101" t="s">
        <v>26</v>
      </c>
      <c r="E101" s="1">
        <v>45667</v>
      </c>
    </row>
    <row r="102" spans="1:5" x14ac:dyDescent="0.25">
      <c r="A102">
        <v>103</v>
      </c>
      <c r="B102" t="s">
        <v>341</v>
      </c>
      <c r="C102" t="s">
        <v>342</v>
      </c>
      <c r="D102" t="s">
        <v>14</v>
      </c>
      <c r="E102" s="1">
        <v>45669</v>
      </c>
    </row>
    <row r="103" spans="1:5" x14ac:dyDescent="0.25">
      <c r="A103">
        <v>104</v>
      </c>
      <c r="B103" t="s">
        <v>343</v>
      </c>
      <c r="C103" t="s">
        <v>344</v>
      </c>
      <c r="D103" t="s">
        <v>12</v>
      </c>
      <c r="E103" t="s">
        <v>192</v>
      </c>
    </row>
    <row r="104" spans="1:5" x14ac:dyDescent="0.25">
      <c r="A104">
        <v>106</v>
      </c>
      <c r="B104" t="s">
        <v>38</v>
      </c>
      <c r="C104" t="s">
        <v>297</v>
      </c>
      <c r="D104" t="s">
        <v>265</v>
      </c>
      <c r="E104" s="1">
        <v>45942</v>
      </c>
    </row>
    <row r="105" spans="1:5" x14ac:dyDescent="0.25">
      <c r="A105">
        <v>107</v>
      </c>
      <c r="B105" t="s">
        <v>38</v>
      </c>
      <c r="C105" t="s">
        <v>298</v>
      </c>
      <c r="D105" t="s">
        <v>11</v>
      </c>
      <c r="E105" s="1">
        <v>45723</v>
      </c>
    </row>
    <row r="106" spans="1:5" x14ac:dyDescent="0.25">
      <c r="A106">
        <v>108</v>
      </c>
      <c r="B106" t="s">
        <v>38</v>
      </c>
      <c r="C106" t="s">
        <v>299</v>
      </c>
      <c r="D106" t="s">
        <v>18</v>
      </c>
      <c r="E106" s="1">
        <v>45694</v>
      </c>
    </row>
    <row r="107" spans="1:5" x14ac:dyDescent="0.25">
      <c r="A107">
        <v>109</v>
      </c>
      <c r="B107" t="s">
        <v>38</v>
      </c>
      <c r="C107" t="s">
        <v>300</v>
      </c>
      <c r="D107" t="s">
        <v>301</v>
      </c>
      <c r="E107" s="1">
        <v>45940</v>
      </c>
    </row>
    <row r="108" spans="1:5" x14ac:dyDescent="0.25">
      <c r="A108">
        <v>111</v>
      </c>
      <c r="B108" t="s">
        <v>30</v>
      </c>
      <c r="C108" t="s">
        <v>283</v>
      </c>
      <c r="D108" t="s">
        <v>216</v>
      </c>
      <c r="E108" s="1">
        <v>45780</v>
      </c>
    </row>
    <row r="109" spans="1:5" x14ac:dyDescent="0.25">
      <c r="A109">
        <v>112</v>
      </c>
      <c r="B109" t="s">
        <v>284</v>
      </c>
      <c r="C109" t="s">
        <v>285</v>
      </c>
      <c r="D109" t="s">
        <v>5</v>
      </c>
      <c r="E109" t="s">
        <v>286</v>
      </c>
    </row>
    <row r="110" spans="1:5" x14ac:dyDescent="0.25">
      <c r="A110">
        <v>113</v>
      </c>
      <c r="B110" t="s">
        <v>38</v>
      </c>
      <c r="C110" t="s">
        <v>287</v>
      </c>
      <c r="D110" t="s">
        <v>28</v>
      </c>
      <c r="E110" t="s">
        <v>288</v>
      </c>
    </row>
    <row r="111" spans="1:5" x14ac:dyDescent="0.25">
      <c r="A111">
        <v>114</v>
      </c>
      <c r="B111" t="s">
        <v>205</v>
      </c>
      <c r="C111" t="s">
        <v>345</v>
      </c>
      <c r="D111" t="s">
        <v>346</v>
      </c>
      <c r="E111" t="s">
        <v>182</v>
      </c>
    </row>
    <row r="112" spans="1:5" x14ac:dyDescent="0.25">
      <c r="A112">
        <v>115</v>
      </c>
      <c r="B112" t="s">
        <v>186</v>
      </c>
      <c r="C112" t="s">
        <v>347</v>
      </c>
      <c r="D112" t="s">
        <v>46</v>
      </c>
      <c r="E112" t="s">
        <v>348</v>
      </c>
    </row>
    <row r="113" spans="1:5" x14ac:dyDescent="0.25">
      <c r="A113">
        <v>116</v>
      </c>
      <c r="B113" t="s">
        <v>186</v>
      </c>
      <c r="C113" t="s">
        <v>349</v>
      </c>
      <c r="D113" t="s">
        <v>350</v>
      </c>
      <c r="E113" s="1">
        <v>45661</v>
      </c>
    </row>
    <row r="114" spans="1:5" x14ac:dyDescent="0.25">
      <c r="A114">
        <v>117</v>
      </c>
      <c r="B114" t="s">
        <v>15</v>
      </c>
      <c r="C114" t="s">
        <v>351</v>
      </c>
      <c r="D114" t="s">
        <v>28</v>
      </c>
      <c r="E114" s="1">
        <v>45666</v>
      </c>
    </row>
    <row r="115" spans="1:5" x14ac:dyDescent="0.25">
      <c r="A115">
        <v>118</v>
      </c>
      <c r="B115" t="s">
        <v>312</v>
      </c>
      <c r="C115" t="s">
        <v>352</v>
      </c>
      <c r="D115" t="s">
        <v>36</v>
      </c>
      <c r="E115" t="s">
        <v>353</v>
      </c>
    </row>
    <row r="116" spans="1:5" x14ac:dyDescent="0.25">
      <c r="A116">
        <v>119</v>
      </c>
      <c r="B116" t="s">
        <v>354</v>
      </c>
      <c r="C116" t="s">
        <v>355</v>
      </c>
      <c r="D116" t="s">
        <v>44</v>
      </c>
      <c r="E116" s="1">
        <v>45694</v>
      </c>
    </row>
    <row r="117" spans="1:5" x14ac:dyDescent="0.25">
      <c r="A117">
        <v>121</v>
      </c>
      <c r="B117" t="s">
        <v>34</v>
      </c>
      <c r="C117" t="s">
        <v>289</v>
      </c>
      <c r="D117" t="s">
        <v>290</v>
      </c>
      <c r="E117" t="s">
        <v>182</v>
      </c>
    </row>
    <row r="118" spans="1:5" x14ac:dyDescent="0.25">
      <c r="A118">
        <v>122</v>
      </c>
      <c r="B118" t="s">
        <v>354</v>
      </c>
      <c r="C118" t="s">
        <v>356</v>
      </c>
      <c r="D118" t="s">
        <v>265</v>
      </c>
      <c r="E118" t="s">
        <v>266</v>
      </c>
    </row>
    <row r="119" spans="1:5" x14ac:dyDescent="0.25">
      <c r="A119">
        <v>123</v>
      </c>
      <c r="B119" t="s">
        <v>186</v>
      </c>
      <c r="C119" t="s">
        <v>357</v>
      </c>
      <c r="D119" t="s">
        <v>42</v>
      </c>
      <c r="E119" t="s">
        <v>266</v>
      </c>
    </row>
  </sheetData>
  <sortState xmlns:xlrd2="http://schemas.microsoft.com/office/spreadsheetml/2017/richdata2" ref="A2:E140">
    <sortCondition ref="A1:A140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A182D-6469-4BB4-88E2-23163F88DEAA}">
  <sheetPr codeName="Planilha3"/>
  <dimension ref="A1:AA119"/>
  <sheetViews>
    <sheetView tabSelected="1" workbookViewId="0">
      <selection activeCell="D9" sqref="D9"/>
    </sheetView>
  </sheetViews>
  <sheetFormatPr defaultRowHeight="15" x14ac:dyDescent="0.25"/>
  <cols>
    <col min="1" max="1" width="24.28515625" bestFit="1" customWidth="1"/>
    <col min="2" max="2" width="22.28515625" bestFit="1" customWidth="1"/>
    <col min="3" max="3" width="22.140625" bestFit="1" customWidth="1"/>
    <col min="4" max="4" width="73.140625" bestFit="1" customWidth="1"/>
    <col min="5" max="5" width="30" bestFit="1" customWidth="1"/>
    <col min="6" max="6" width="13.5703125" bestFit="1" customWidth="1"/>
    <col min="7" max="7" width="52.85546875" bestFit="1" customWidth="1"/>
    <col min="8" max="8" width="56.5703125" bestFit="1" customWidth="1"/>
    <col min="9" max="9" width="58.42578125" bestFit="1" customWidth="1"/>
    <col min="10" max="10" width="38.28515625" bestFit="1" customWidth="1"/>
    <col min="11" max="11" width="9.7109375" bestFit="1" customWidth="1"/>
    <col min="12" max="12" width="12.5703125" bestFit="1" customWidth="1"/>
    <col min="13" max="13" width="20" bestFit="1" customWidth="1"/>
    <col min="14" max="14" width="40.28515625" bestFit="1" customWidth="1"/>
    <col min="15" max="15" width="28.5703125" bestFit="1" customWidth="1"/>
    <col min="16" max="16" width="22.140625" bestFit="1" customWidth="1"/>
    <col min="17" max="17" width="81.140625" bestFit="1" customWidth="1"/>
    <col min="18" max="18" width="22.28515625" bestFit="1" customWidth="1"/>
    <col min="19" max="19" width="24.42578125" bestFit="1" customWidth="1"/>
    <col min="20" max="20" width="24.85546875" bestFit="1" customWidth="1"/>
    <col min="21" max="21" width="81.140625" bestFit="1" customWidth="1"/>
    <col min="22" max="22" width="24.140625" bestFit="1" customWidth="1"/>
    <col min="23" max="23" width="15.85546875" bestFit="1" customWidth="1"/>
    <col min="24" max="24" width="13.7109375" bestFit="1" customWidth="1"/>
    <col min="25" max="25" width="12.85546875" bestFit="1" customWidth="1"/>
    <col min="26" max="26" width="24.28515625" bestFit="1" customWidth="1"/>
    <col min="27" max="27" width="5.140625" bestFit="1" customWidth="1"/>
  </cols>
  <sheetData>
    <row r="1" spans="1:27" x14ac:dyDescent="0.25">
      <c r="A1" t="s">
        <v>53</v>
      </c>
      <c r="B1" t="s">
        <v>54</v>
      </c>
      <c r="C1" t="s">
        <v>55</v>
      </c>
      <c r="D1" t="s">
        <v>56</v>
      </c>
      <c r="E1" t="s">
        <v>57</v>
      </c>
      <c r="F1" t="s">
        <v>58</v>
      </c>
      <c r="G1" t="s">
        <v>59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73</v>
      </c>
      <c r="V1" t="s">
        <v>74</v>
      </c>
      <c r="W1" t="s">
        <v>75</v>
      </c>
      <c r="X1" t="s">
        <v>76</v>
      </c>
      <c r="Y1" t="s">
        <v>77</v>
      </c>
      <c r="Z1" t="s">
        <v>165</v>
      </c>
      <c r="AA1" t="s">
        <v>48</v>
      </c>
    </row>
    <row r="2" spans="1:27" x14ac:dyDescent="0.25">
      <c r="A2" s="2" t="s">
        <v>358</v>
      </c>
      <c r="B2" s="2" t="s">
        <v>78</v>
      </c>
      <c r="C2" s="2" t="s">
        <v>166</v>
      </c>
      <c r="D2" s="2" t="s">
        <v>359</v>
      </c>
      <c r="E2" s="2" t="s">
        <v>79</v>
      </c>
      <c r="F2">
        <v>102122</v>
      </c>
      <c r="G2" s="1">
        <v>45700</v>
      </c>
      <c r="H2" s="1">
        <v>45820</v>
      </c>
      <c r="I2">
        <v>120</v>
      </c>
      <c r="J2" s="2" t="s">
        <v>93</v>
      </c>
      <c r="K2" s="2" t="s">
        <v>360</v>
      </c>
      <c r="L2" s="2" t="s">
        <v>85</v>
      </c>
      <c r="M2">
        <v>3</v>
      </c>
      <c r="N2" s="1">
        <v>45809</v>
      </c>
      <c r="O2" s="2" t="s">
        <v>82</v>
      </c>
      <c r="P2">
        <v>5965</v>
      </c>
      <c r="Q2" s="2" t="s">
        <v>146</v>
      </c>
      <c r="S2" s="2" t="s">
        <v>166</v>
      </c>
      <c r="U2" s="2" t="s">
        <v>166</v>
      </c>
      <c r="V2" s="2" t="s">
        <v>166</v>
      </c>
      <c r="W2">
        <v>1300</v>
      </c>
      <c r="X2">
        <v>1</v>
      </c>
      <c r="Y2">
        <v>1300</v>
      </c>
      <c r="Z2">
        <v>113300</v>
      </c>
      <c r="AA2">
        <v>4</v>
      </c>
    </row>
    <row r="3" spans="1:27" x14ac:dyDescent="0.25">
      <c r="A3" s="2" t="s">
        <v>358</v>
      </c>
      <c r="B3" s="2" t="s">
        <v>78</v>
      </c>
      <c r="C3" s="2" t="s">
        <v>166</v>
      </c>
      <c r="D3" s="2" t="s">
        <v>359</v>
      </c>
      <c r="E3" s="2" t="s">
        <v>79</v>
      </c>
      <c r="F3">
        <v>102122</v>
      </c>
      <c r="G3" s="1">
        <v>45700</v>
      </c>
      <c r="H3" s="1">
        <v>45820</v>
      </c>
      <c r="I3">
        <v>120</v>
      </c>
      <c r="J3" s="2" t="s">
        <v>155</v>
      </c>
      <c r="K3" s="2" t="s">
        <v>361</v>
      </c>
      <c r="L3" s="2" t="s">
        <v>85</v>
      </c>
      <c r="M3">
        <v>2</v>
      </c>
      <c r="N3" s="1">
        <v>45828</v>
      </c>
      <c r="O3" s="2" t="s">
        <v>82</v>
      </c>
      <c r="P3">
        <v>6130</v>
      </c>
      <c r="Q3" s="2" t="s">
        <v>362</v>
      </c>
      <c r="S3" s="2" t="s">
        <v>166</v>
      </c>
      <c r="U3" s="2" t="s">
        <v>166</v>
      </c>
      <c r="V3" s="2" t="s">
        <v>166</v>
      </c>
      <c r="W3">
        <v>12000</v>
      </c>
      <c r="X3">
        <v>1</v>
      </c>
      <c r="Y3">
        <v>12000</v>
      </c>
      <c r="Z3">
        <v>113300</v>
      </c>
      <c r="AA3">
        <v>4</v>
      </c>
    </row>
    <row r="4" spans="1:27" x14ac:dyDescent="0.25">
      <c r="A4" s="2" t="s">
        <v>358</v>
      </c>
      <c r="B4" s="2" t="s">
        <v>78</v>
      </c>
      <c r="C4" s="2" t="s">
        <v>166</v>
      </c>
      <c r="D4" s="2" t="s">
        <v>359</v>
      </c>
      <c r="E4" s="2" t="s">
        <v>79</v>
      </c>
      <c r="F4">
        <v>102122</v>
      </c>
      <c r="G4" s="1">
        <v>45700</v>
      </c>
      <c r="H4" s="1">
        <v>45820</v>
      </c>
      <c r="I4">
        <v>120</v>
      </c>
      <c r="J4" s="2" t="s">
        <v>155</v>
      </c>
      <c r="K4" s="2" t="s">
        <v>361</v>
      </c>
      <c r="L4" s="2" t="s">
        <v>85</v>
      </c>
      <c r="M4">
        <v>3</v>
      </c>
      <c r="N4" s="1">
        <v>45828</v>
      </c>
      <c r="O4" s="2" t="s">
        <v>82</v>
      </c>
      <c r="P4">
        <v>7060</v>
      </c>
      <c r="Q4" s="2" t="s">
        <v>363</v>
      </c>
      <c r="S4" s="2" t="s">
        <v>166</v>
      </c>
      <c r="U4" s="2" t="s">
        <v>166</v>
      </c>
      <c r="V4" s="2" t="s">
        <v>166</v>
      </c>
      <c r="W4">
        <v>80000</v>
      </c>
      <c r="X4">
        <v>1</v>
      </c>
      <c r="Y4">
        <v>80000</v>
      </c>
      <c r="Z4">
        <v>113300</v>
      </c>
      <c r="AA4">
        <v>4</v>
      </c>
    </row>
    <row r="5" spans="1:27" x14ac:dyDescent="0.25">
      <c r="A5" s="2" t="s">
        <v>358</v>
      </c>
      <c r="B5" s="2" t="s">
        <v>78</v>
      </c>
      <c r="C5" s="2" t="s">
        <v>166</v>
      </c>
      <c r="D5" s="2" t="s">
        <v>359</v>
      </c>
      <c r="E5" s="2" t="s">
        <v>79</v>
      </c>
      <c r="F5">
        <v>102122</v>
      </c>
      <c r="G5" s="1">
        <v>45700</v>
      </c>
      <c r="H5" s="1">
        <v>45820</v>
      </c>
      <c r="I5">
        <v>120</v>
      </c>
      <c r="J5" s="2" t="s">
        <v>155</v>
      </c>
      <c r="K5" s="2" t="s">
        <v>361</v>
      </c>
      <c r="L5" s="2" t="s">
        <v>85</v>
      </c>
      <c r="M5">
        <v>4</v>
      </c>
      <c r="N5" s="1">
        <v>45828</v>
      </c>
      <c r="O5" s="2" t="s">
        <v>82</v>
      </c>
      <c r="P5">
        <v>7030</v>
      </c>
      <c r="Q5" s="2" t="s">
        <v>364</v>
      </c>
      <c r="S5" s="2" t="s">
        <v>166</v>
      </c>
      <c r="U5" s="2" t="s">
        <v>166</v>
      </c>
      <c r="V5" s="2" t="s">
        <v>166</v>
      </c>
      <c r="W5">
        <v>20000</v>
      </c>
      <c r="X5">
        <v>1</v>
      </c>
      <c r="Y5">
        <v>20000</v>
      </c>
      <c r="Z5">
        <v>113300</v>
      </c>
      <c r="AA5">
        <v>4</v>
      </c>
    </row>
    <row r="6" spans="1:27" x14ac:dyDescent="0.25">
      <c r="A6" s="2" t="s">
        <v>365</v>
      </c>
      <c r="B6" s="2" t="s">
        <v>78</v>
      </c>
      <c r="C6" s="2" t="s">
        <v>366</v>
      </c>
      <c r="D6" s="2" t="s">
        <v>367</v>
      </c>
      <c r="E6" s="2" t="s">
        <v>109</v>
      </c>
      <c r="F6">
        <v>102122</v>
      </c>
      <c r="G6" s="1">
        <v>45671</v>
      </c>
      <c r="H6" s="1">
        <v>45721</v>
      </c>
      <c r="I6">
        <v>50</v>
      </c>
      <c r="J6" s="2" t="s">
        <v>83</v>
      </c>
      <c r="K6" s="2" t="s">
        <v>368</v>
      </c>
      <c r="L6" s="2" t="s">
        <v>85</v>
      </c>
      <c r="M6">
        <v>1</v>
      </c>
      <c r="N6" s="1">
        <v>45716</v>
      </c>
      <c r="O6" s="2" t="s">
        <v>111</v>
      </c>
      <c r="P6">
        <v>871</v>
      </c>
      <c r="Q6" s="2" t="s">
        <v>369</v>
      </c>
      <c r="S6" s="2" t="s">
        <v>166</v>
      </c>
      <c r="T6">
        <v>16314</v>
      </c>
      <c r="U6" s="2" t="s">
        <v>370</v>
      </c>
      <c r="V6" s="2" t="s">
        <v>166</v>
      </c>
      <c r="W6">
        <v>125000</v>
      </c>
      <c r="X6">
        <v>1</v>
      </c>
      <c r="Y6">
        <v>125000</v>
      </c>
      <c r="Z6">
        <v>125000</v>
      </c>
      <c r="AA6">
        <v>111</v>
      </c>
    </row>
    <row r="7" spans="1:27" x14ac:dyDescent="0.25">
      <c r="A7" s="2" t="s">
        <v>371</v>
      </c>
      <c r="B7" s="2" t="s">
        <v>78</v>
      </c>
      <c r="C7" s="2" t="s">
        <v>166</v>
      </c>
      <c r="D7" s="2" t="s">
        <v>372</v>
      </c>
      <c r="E7" s="2" t="s">
        <v>109</v>
      </c>
      <c r="F7">
        <v>102122</v>
      </c>
      <c r="G7" s="1">
        <v>45567</v>
      </c>
      <c r="H7" s="1">
        <v>45687</v>
      </c>
      <c r="I7">
        <v>120</v>
      </c>
      <c r="J7" s="2" t="s">
        <v>119</v>
      </c>
      <c r="K7" s="2" t="s">
        <v>373</v>
      </c>
      <c r="L7" s="2" t="s">
        <v>85</v>
      </c>
      <c r="M7">
        <v>1</v>
      </c>
      <c r="N7" s="1">
        <v>45687</v>
      </c>
      <c r="O7" s="2" t="s">
        <v>111</v>
      </c>
      <c r="P7">
        <v>871</v>
      </c>
      <c r="Q7" s="2" t="s">
        <v>369</v>
      </c>
      <c r="S7" s="2" t="s">
        <v>166</v>
      </c>
      <c r="U7" s="2" t="s">
        <v>166</v>
      </c>
      <c r="V7" s="2" t="s">
        <v>166</v>
      </c>
      <c r="W7">
        <v>61500</v>
      </c>
      <c r="X7">
        <v>1</v>
      </c>
      <c r="Y7">
        <v>61500</v>
      </c>
      <c r="Z7">
        <v>84500</v>
      </c>
      <c r="AA7">
        <v>12</v>
      </c>
    </row>
    <row r="8" spans="1:27" x14ac:dyDescent="0.25">
      <c r="A8" s="2" t="s">
        <v>371</v>
      </c>
      <c r="B8" s="2" t="s">
        <v>78</v>
      </c>
      <c r="C8" s="2" t="s">
        <v>166</v>
      </c>
      <c r="D8" s="2" t="s">
        <v>372</v>
      </c>
      <c r="E8" s="2" t="s">
        <v>109</v>
      </c>
      <c r="F8">
        <v>102122</v>
      </c>
      <c r="G8" s="1">
        <v>45567</v>
      </c>
      <c r="H8" s="1">
        <v>45687</v>
      </c>
      <c r="I8">
        <v>120</v>
      </c>
      <c r="J8" s="2" t="s">
        <v>119</v>
      </c>
      <c r="K8" s="2" t="s">
        <v>373</v>
      </c>
      <c r="L8" s="2" t="s">
        <v>85</v>
      </c>
      <c r="M8">
        <v>1</v>
      </c>
      <c r="N8" s="1">
        <v>45687</v>
      </c>
      <c r="O8" s="2" t="s">
        <v>82</v>
      </c>
      <c r="P8">
        <v>2940</v>
      </c>
      <c r="Q8" s="2" t="s">
        <v>374</v>
      </c>
      <c r="S8" s="2" t="s">
        <v>166</v>
      </c>
      <c r="U8" s="2" t="s">
        <v>166</v>
      </c>
      <c r="V8" s="2" t="s">
        <v>166</v>
      </c>
      <c r="W8">
        <v>23000</v>
      </c>
      <c r="X8">
        <v>1</v>
      </c>
      <c r="Y8">
        <v>23000</v>
      </c>
      <c r="Z8">
        <v>84500</v>
      </c>
      <c r="AA8">
        <v>12</v>
      </c>
    </row>
    <row r="9" spans="1:27" x14ac:dyDescent="0.25">
      <c r="A9" s="2" t="s">
        <v>368</v>
      </c>
      <c r="B9" s="2" t="s">
        <v>78</v>
      </c>
      <c r="C9" s="2" t="s">
        <v>166</v>
      </c>
      <c r="D9" s="2" t="s">
        <v>375</v>
      </c>
      <c r="E9" s="2" t="s">
        <v>79</v>
      </c>
      <c r="F9">
        <v>102122</v>
      </c>
      <c r="G9" s="1">
        <v>45748</v>
      </c>
      <c r="H9" s="1">
        <v>45868</v>
      </c>
      <c r="I9">
        <v>120</v>
      </c>
      <c r="J9" s="2" t="s">
        <v>83</v>
      </c>
      <c r="K9" s="2" t="s">
        <v>376</v>
      </c>
      <c r="L9" s="2" t="s">
        <v>85</v>
      </c>
      <c r="M9">
        <v>2</v>
      </c>
      <c r="N9" s="1">
        <v>45868</v>
      </c>
      <c r="O9" s="2" t="s">
        <v>82</v>
      </c>
      <c r="P9">
        <v>3438</v>
      </c>
      <c r="Q9" s="2" t="s">
        <v>377</v>
      </c>
      <c r="S9" s="2" t="s">
        <v>166</v>
      </c>
      <c r="U9" s="2" t="s">
        <v>166</v>
      </c>
      <c r="V9" s="2" t="s">
        <v>166</v>
      </c>
      <c r="W9">
        <v>165000</v>
      </c>
      <c r="X9">
        <v>1</v>
      </c>
      <c r="Y9">
        <v>165000</v>
      </c>
      <c r="Z9">
        <v>165000</v>
      </c>
      <c r="AA9">
        <v>1</v>
      </c>
    </row>
    <row r="10" spans="1:27" x14ac:dyDescent="0.25">
      <c r="A10" s="2" t="s">
        <v>378</v>
      </c>
      <c r="B10" s="2" t="s">
        <v>78</v>
      </c>
      <c r="C10" s="2" t="s">
        <v>166</v>
      </c>
      <c r="D10" s="2" t="s">
        <v>379</v>
      </c>
      <c r="E10" s="2" t="s">
        <v>79</v>
      </c>
      <c r="F10">
        <v>102122</v>
      </c>
      <c r="G10" s="1">
        <v>45667</v>
      </c>
      <c r="H10" s="1">
        <v>45757</v>
      </c>
      <c r="I10">
        <v>90</v>
      </c>
      <c r="J10" s="2" t="s">
        <v>103</v>
      </c>
      <c r="K10" s="2" t="s">
        <v>380</v>
      </c>
      <c r="L10" s="2" t="s">
        <v>85</v>
      </c>
      <c r="M10">
        <v>1</v>
      </c>
      <c r="N10" s="1">
        <v>45853</v>
      </c>
      <c r="O10" s="2" t="s">
        <v>82</v>
      </c>
      <c r="P10">
        <v>4110</v>
      </c>
      <c r="Q10" s="2" t="s">
        <v>159</v>
      </c>
      <c r="S10" s="2" t="s">
        <v>166</v>
      </c>
      <c r="U10" s="2" t="s">
        <v>166</v>
      </c>
      <c r="V10" s="2" t="s">
        <v>166</v>
      </c>
      <c r="W10">
        <v>10000</v>
      </c>
      <c r="X10">
        <v>1</v>
      </c>
      <c r="Y10">
        <v>10000</v>
      </c>
      <c r="Z10">
        <v>14500</v>
      </c>
      <c r="AA10">
        <v>9</v>
      </c>
    </row>
    <row r="11" spans="1:27" x14ac:dyDescent="0.25">
      <c r="A11" s="2" t="s">
        <v>378</v>
      </c>
      <c r="B11" s="2" t="s">
        <v>78</v>
      </c>
      <c r="C11" s="2" t="s">
        <v>166</v>
      </c>
      <c r="D11" s="2" t="s">
        <v>379</v>
      </c>
      <c r="E11" s="2" t="s">
        <v>79</v>
      </c>
      <c r="F11">
        <v>102122</v>
      </c>
      <c r="G11" s="1">
        <v>45667</v>
      </c>
      <c r="H11" s="1">
        <v>45757</v>
      </c>
      <c r="I11">
        <v>90</v>
      </c>
      <c r="J11" s="2" t="s">
        <v>102</v>
      </c>
      <c r="K11" s="2" t="s">
        <v>381</v>
      </c>
      <c r="L11" s="2" t="s">
        <v>85</v>
      </c>
      <c r="M11">
        <v>2</v>
      </c>
      <c r="N11" s="1">
        <v>45717</v>
      </c>
      <c r="O11" s="2" t="s">
        <v>82</v>
      </c>
      <c r="P11">
        <v>4110</v>
      </c>
      <c r="Q11" s="2" t="s">
        <v>159</v>
      </c>
      <c r="S11" s="2" t="s">
        <v>166</v>
      </c>
      <c r="U11" s="2" t="s">
        <v>166</v>
      </c>
      <c r="V11" s="2" t="s">
        <v>166</v>
      </c>
      <c r="W11">
        <v>4500</v>
      </c>
      <c r="X11">
        <v>1</v>
      </c>
      <c r="Y11">
        <v>4500</v>
      </c>
      <c r="Z11">
        <v>14500</v>
      </c>
      <c r="AA11">
        <v>9</v>
      </c>
    </row>
    <row r="12" spans="1:27" x14ac:dyDescent="0.25">
      <c r="A12" s="2" t="s">
        <v>382</v>
      </c>
      <c r="B12" s="2" t="s">
        <v>78</v>
      </c>
      <c r="C12" s="2" t="s">
        <v>166</v>
      </c>
      <c r="D12" s="2" t="s">
        <v>383</v>
      </c>
      <c r="E12" s="2" t="s">
        <v>79</v>
      </c>
      <c r="F12">
        <v>102122</v>
      </c>
      <c r="G12" s="1">
        <v>45677</v>
      </c>
      <c r="H12" s="1">
        <v>45797</v>
      </c>
      <c r="I12">
        <v>120</v>
      </c>
      <c r="J12" s="2" t="s">
        <v>127</v>
      </c>
      <c r="K12" s="2" t="s">
        <v>384</v>
      </c>
      <c r="L12" s="2" t="s">
        <v>85</v>
      </c>
      <c r="M12">
        <v>1</v>
      </c>
      <c r="N12" s="1">
        <v>45899</v>
      </c>
      <c r="O12" s="2" t="s">
        <v>82</v>
      </c>
      <c r="P12">
        <v>7510</v>
      </c>
      <c r="Q12" s="2" t="s">
        <v>158</v>
      </c>
      <c r="S12" s="2" t="s">
        <v>166</v>
      </c>
      <c r="U12" s="2" t="s">
        <v>166</v>
      </c>
      <c r="V12" s="2" t="s">
        <v>166</v>
      </c>
      <c r="W12">
        <v>100000</v>
      </c>
      <c r="X12">
        <v>1</v>
      </c>
      <c r="Y12">
        <v>100000</v>
      </c>
      <c r="Z12">
        <v>162200</v>
      </c>
      <c r="AA12">
        <v>2</v>
      </c>
    </row>
    <row r="13" spans="1:27" x14ac:dyDescent="0.25">
      <c r="A13" s="2" t="s">
        <v>382</v>
      </c>
      <c r="B13" s="2" t="s">
        <v>78</v>
      </c>
      <c r="C13" s="2" t="s">
        <v>166</v>
      </c>
      <c r="D13" s="2" t="s">
        <v>383</v>
      </c>
      <c r="E13" s="2" t="s">
        <v>79</v>
      </c>
      <c r="F13">
        <v>102122</v>
      </c>
      <c r="G13" s="1">
        <v>45677</v>
      </c>
      <c r="H13" s="1">
        <v>45797</v>
      </c>
      <c r="I13">
        <v>120</v>
      </c>
      <c r="J13" s="2" t="s">
        <v>385</v>
      </c>
      <c r="K13" s="2" t="s">
        <v>386</v>
      </c>
      <c r="L13" s="2" t="s">
        <v>85</v>
      </c>
      <c r="M13">
        <v>1</v>
      </c>
      <c r="N13" s="1">
        <v>45713</v>
      </c>
      <c r="O13" s="2" t="s">
        <v>82</v>
      </c>
      <c r="P13">
        <v>7510</v>
      </c>
      <c r="Q13" s="2" t="s">
        <v>158</v>
      </c>
      <c r="S13" s="2" t="s">
        <v>166</v>
      </c>
      <c r="U13" s="2" t="s">
        <v>166</v>
      </c>
      <c r="V13" s="2" t="s">
        <v>166</v>
      </c>
      <c r="W13">
        <v>59000</v>
      </c>
      <c r="X13">
        <v>1</v>
      </c>
      <c r="Y13">
        <v>59000</v>
      </c>
      <c r="Z13">
        <v>162200</v>
      </c>
      <c r="AA13">
        <v>2</v>
      </c>
    </row>
    <row r="14" spans="1:27" x14ac:dyDescent="0.25">
      <c r="A14" s="2" t="s">
        <v>382</v>
      </c>
      <c r="B14" s="2" t="s">
        <v>78</v>
      </c>
      <c r="C14" s="2" t="s">
        <v>166</v>
      </c>
      <c r="D14" s="2" t="s">
        <v>383</v>
      </c>
      <c r="E14" s="2" t="s">
        <v>79</v>
      </c>
      <c r="F14">
        <v>102122</v>
      </c>
      <c r="G14" s="1">
        <v>45677</v>
      </c>
      <c r="H14" s="1">
        <v>45797</v>
      </c>
      <c r="I14">
        <v>120</v>
      </c>
      <c r="J14" s="2" t="s">
        <v>128</v>
      </c>
      <c r="K14" s="2" t="s">
        <v>387</v>
      </c>
      <c r="L14" s="2" t="s">
        <v>81</v>
      </c>
      <c r="M14">
        <v>3</v>
      </c>
      <c r="N14" s="1">
        <v>45839</v>
      </c>
      <c r="O14" s="2" t="s">
        <v>82</v>
      </c>
      <c r="P14">
        <v>7510</v>
      </c>
      <c r="Q14" s="2" t="s">
        <v>158</v>
      </c>
      <c r="S14" s="2" t="s">
        <v>166</v>
      </c>
      <c r="U14" s="2" t="s">
        <v>166</v>
      </c>
      <c r="V14" s="2" t="s">
        <v>166</v>
      </c>
      <c r="W14">
        <v>1200</v>
      </c>
      <c r="X14">
        <v>1</v>
      </c>
      <c r="Y14">
        <v>1200</v>
      </c>
      <c r="Z14">
        <v>162200</v>
      </c>
      <c r="AA14">
        <v>2</v>
      </c>
    </row>
    <row r="15" spans="1:27" x14ac:dyDescent="0.25">
      <c r="A15" s="2" t="s">
        <v>382</v>
      </c>
      <c r="B15" s="2" t="s">
        <v>78</v>
      </c>
      <c r="C15" s="2" t="s">
        <v>166</v>
      </c>
      <c r="D15" s="2" t="s">
        <v>383</v>
      </c>
      <c r="E15" s="2" t="s">
        <v>79</v>
      </c>
      <c r="F15">
        <v>102122</v>
      </c>
      <c r="G15" s="1">
        <v>45677</v>
      </c>
      <c r="H15" s="1">
        <v>45797</v>
      </c>
      <c r="I15">
        <v>120</v>
      </c>
      <c r="J15" s="2" t="s">
        <v>93</v>
      </c>
      <c r="K15" s="2" t="s">
        <v>360</v>
      </c>
      <c r="L15" s="2" t="s">
        <v>85</v>
      </c>
      <c r="M15">
        <v>2</v>
      </c>
      <c r="N15" s="1">
        <v>45809</v>
      </c>
      <c r="O15" s="2" t="s">
        <v>82</v>
      </c>
      <c r="P15">
        <v>6140</v>
      </c>
      <c r="Q15" s="2" t="s">
        <v>388</v>
      </c>
      <c r="S15" s="2" t="s">
        <v>166</v>
      </c>
      <c r="U15" s="2" t="s">
        <v>166</v>
      </c>
      <c r="V15" s="2" t="s">
        <v>166</v>
      </c>
      <c r="W15">
        <v>2000</v>
      </c>
      <c r="X15">
        <v>1</v>
      </c>
      <c r="Y15">
        <v>2000</v>
      </c>
      <c r="Z15">
        <v>162200</v>
      </c>
      <c r="AA15">
        <v>2</v>
      </c>
    </row>
    <row r="16" spans="1:27" x14ac:dyDescent="0.25">
      <c r="A16" s="2" t="s">
        <v>389</v>
      </c>
      <c r="B16" s="2" t="s">
        <v>78</v>
      </c>
      <c r="C16" s="2" t="s">
        <v>166</v>
      </c>
      <c r="D16" s="2" t="s">
        <v>390</v>
      </c>
      <c r="E16" s="2" t="s">
        <v>79</v>
      </c>
      <c r="F16">
        <v>102122</v>
      </c>
      <c r="G16" s="1">
        <v>45722</v>
      </c>
      <c r="H16" s="1">
        <v>45842</v>
      </c>
      <c r="I16">
        <v>120</v>
      </c>
      <c r="J16" s="2" t="s">
        <v>128</v>
      </c>
      <c r="K16" s="2" t="s">
        <v>387</v>
      </c>
      <c r="L16" s="2" t="s">
        <v>81</v>
      </c>
      <c r="M16">
        <v>1</v>
      </c>
      <c r="N16" s="1">
        <v>45839</v>
      </c>
      <c r="O16" s="2" t="s">
        <v>82</v>
      </c>
      <c r="P16">
        <v>6135</v>
      </c>
      <c r="Q16" s="2" t="s">
        <v>391</v>
      </c>
      <c r="S16" s="2" t="s">
        <v>166</v>
      </c>
      <c r="U16" s="2" t="s">
        <v>166</v>
      </c>
      <c r="V16" s="2" t="s">
        <v>166</v>
      </c>
      <c r="W16">
        <v>10800</v>
      </c>
      <c r="X16">
        <v>1</v>
      </c>
      <c r="Y16">
        <v>10800</v>
      </c>
      <c r="Z16">
        <v>98800</v>
      </c>
      <c r="AA16">
        <v>22</v>
      </c>
    </row>
    <row r="17" spans="1:27" x14ac:dyDescent="0.25">
      <c r="A17" s="2" t="s">
        <v>389</v>
      </c>
      <c r="B17" s="2" t="s">
        <v>78</v>
      </c>
      <c r="C17" s="2" t="s">
        <v>166</v>
      </c>
      <c r="D17" s="2" t="s">
        <v>390</v>
      </c>
      <c r="E17" s="2" t="s">
        <v>79</v>
      </c>
      <c r="F17">
        <v>102122</v>
      </c>
      <c r="G17" s="1">
        <v>45722</v>
      </c>
      <c r="H17" s="1">
        <v>45842</v>
      </c>
      <c r="I17">
        <v>120</v>
      </c>
      <c r="J17" s="2" t="s">
        <v>128</v>
      </c>
      <c r="K17" s="2" t="s">
        <v>387</v>
      </c>
      <c r="L17" s="2" t="s">
        <v>81</v>
      </c>
      <c r="M17">
        <v>2</v>
      </c>
      <c r="N17" s="1">
        <v>45839</v>
      </c>
      <c r="O17" s="2" t="s">
        <v>82</v>
      </c>
      <c r="P17">
        <v>6515</v>
      </c>
      <c r="Q17" s="2" t="s">
        <v>134</v>
      </c>
      <c r="S17" s="2" t="s">
        <v>166</v>
      </c>
      <c r="U17" s="2" t="s">
        <v>166</v>
      </c>
      <c r="V17" s="2" t="s">
        <v>166</v>
      </c>
      <c r="W17">
        <v>88000</v>
      </c>
      <c r="X17">
        <v>1</v>
      </c>
      <c r="Y17">
        <v>88000</v>
      </c>
      <c r="Z17">
        <v>98800</v>
      </c>
      <c r="AA17">
        <v>22</v>
      </c>
    </row>
    <row r="18" spans="1:27" x14ac:dyDescent="0.25">
      <c r="A18" s="2" t="s">
        <v>392</v>
      </c>
      <c r="B18" s="2" t="s">
        <v>78</v>
      </c>
      <c r="C18" s="2" t="s">
        <v>166</v>
      </c>
      <c r="D18" s="2" t="s">
        <v>393</v>
      </c>
      <c r="E18" s="2" t="s">
        <v>79</v>
      </c>
      <c r="F18">
        <v>102122</v>
      </c>
      <c r="G18" s="1">
        <v>45750</v>
      </c>
      <c r="H18" s="1">
        <v>45873</v>
      </c>
      <c r="I18">
        <v>123</v>
      </c>
      <c r="J18" s="2" t="s">
        <v>127</v>
      </c>
      <c r="K18" s="2" t="s">
        <v>394</v>
      </c>
      <c r="L18" s="2" t="s">
        <v>85</v>
      </c>
      <c r="M18">
        <v>1</v>
      </c>
      <c r="N18" s="1">
        <v>45838</v>
      </c>
      <c r="O18" s="2" t="s">
        <v>82</v>
      </c>
      <c r="P18">
        <v>6520</v>
      </c>
      <c r="Q18" s="2" t="s">
        <v>88</v>
      </c>
      <c r="S18" s="2" t="s">
        <v>166</v>
      </c>
      <c r="U18" s="2" t="s">
        <v>166</v>
      </c>
      <c r="V18" s="2" t="s">
        <v>166</v>
      </c>
      <c r="W18">
        <v>300000</v>
      </c>
      <c r="X18">
        <v>1</v>
      </c>
      <c r="Y18">
        <v>300000</v>
      </c>
      <c r="Z18">
        <v>450000</v>
      </c>
      <c r="AA18">
        <v>18</v>
      </c>
    </row>
    <row r="19" spans="1:27" x14ac:dyDescent="0.25">
      <c r="A19" s="2" t="s">
        <v>392</v>
      </c>
      <c r="B19" s="2" t="s">
        <v>78</v>
      </c>
      <c r="C19" s="2" t="s">
        <v>166</v>
      </c>
      <c r="D19" s="2" t="s">
        <v>393</v>
      </c>
      <c r="E19" s="2" t="s">
        <v>79</v>
      </c>
      <c r="F19">
        <v>102122</v>
      </c>
      <c r="G19" s="1">
        <v>45750</v>
      </c>
      <c r="H19" s="1">
        <v>45873</v>
      </c>
      <c r="I19">
        <v>123</v>
      </c>
      <c r="J19" s="2" t="s">
        <v>127</v>
      </c>
      <c r="K19" s="2" t="s">
        <v>395</v>
      </c>
      <c r="L19" s="2" t="s">
        <v>85</v>
      </c>
      <c r="M19">
        <v>1</v>
      </c>
      <c r="N19" s="1">
        <v>45897</v>
      </c>
      <c r="O19" s="2" t="s">
        <v>82</v>
      </c>
      <c r="P19">
        <v>6505</v>
      </c>
      <c r="Q19" s="2" t="s">
        <v>100</v>
      </c>
      <c r="S19" s="2" t="s">
        <v>166</v>
      </c>
      <c r="U19" s="2" t="s">
        <v>166</v>
      </c>
      <c r="V19" s="2" t="s">
        <v>166</v>
      </c>
      <c r="W19">
        <v>150000</v>
      </c>
      <c r="X19">
        <v>1</v>
      </c>
      <c r="Y19">
        <v>150000</v>
      </c>
      <c r="Z19">
        <v>450000</v>
      </c>
      <c r="AA19">
        <v>18</v>
      </c>
    </row>
    <row r="20" spans="1:27" x14ac:dyDescent="0.25">
      <c r="A20" s="2" t="s">
        <v>396</v>
      </c>
      <c r="B20" s="2" t="s">
        <v>78</v>
      </c>
      <c r="C20" s="2" t="s">
        <v>166</v>
      </c>
      <c r="D20" s="2" t="s">
        <v>397</v>
      </c>
      <c r="E20" s="2" t="s">
        <v>79</v>
      </c>
      <c r="F20">
        <v>102122</v>
      </c>
      <c r="G20" s="1">
        <v>45789</v>
      </c>
      <c r="H20" s="1">
        <v>45909</v>
      </c>
      <c r="I20">
        <v>120</v>
      </c>
      <c r="J20" s="2" t="s">
        <v>87</v>
      </c>
      <c r="K20" s="2" t="s">
        <v>398</v>
      </c>
      <c r="L20" s="2" t="s">
        <v>85</v>
      </c>
      <c r="M20">
        <v>1</v>
      </c>
      <c r="N20" s="1">
        <v>45746</v>
      </c>
      <c r="O20" s="2" t="s">
        <v>82</v>
      </c>
      <c r="P20">
        <v>6520</v>
      </c>
      <c r="Q20" s="2" t="s">
        <v>88</v>
      </c>
      <c r="S20" s="2" t="s">
        <v>166</v>
      </c>
      <c r="U20" s="2" t="s">
        <v>166</v>
      </c>
      <c r="V20" s="2" t="s">
        <v>166</v>
      </c>
      <c r="W20">
        <v>326500</v>
      </c>
      <c r="X20">
        <v>1</v>
      </c>
      <c r="Y20">
        <v>326500</v>
      </c>
      <c r="Z20">
        <v>380500</v>
      </c>
      <c r="AA20">
        <v>15</v>
      </c>
    </row>
    <row r="21" spans="1:27" x14ac:dyDescent="0.25">
      <c r="A21" s="2" t="s">
        <v>396</v>
      </c>
      <c r="B21" s="2" t="s">
        <v>78</v>
      </c>
      <c r="C21" s="2" t="s">
        <v>166</v>
      </c>
      <c r="D21" s="2" t="s">
        <v>397</v>
      </c>
      <c r="E21" s="2" t="s">
        <v>79</v>
      </c>
      <c r="F21">
        <v>102122</v>
      </c>
      <c r="G21" s="1">
        <v>45789</v>
      </c>
      <c r="H21" s="1">
        <v>45909</v>
      </c>
      <c r="I21">
        <v>120</v>
      </c>
      <c r="J21" s="2" t="s">
        <v>107</v>
      </c>
      <c r="K21" s="2" t="s">
        <v>399</v>
      </c>
      <c r="L21" s="2" t="s">
        <v>85</v>
      </c>
      <c r="M21">
        <v>1</v>
      </c>
      <c r="N21" s="1">
        <v>45910</v>
      </c>
      <c r="O21" s="2" t="s">
        <v>82</v>
      </c>
      <c r="P21">
        <v>6520</v>
      </c>
      <c r="Q21" s="2" t="s">
        <v>88</v>
      </c>
      <c r="S21" s="2" t="s">
        <v>166</v>
      </c>
      <c r="U21" s="2" t="s">
        <v>166</v>
      </c>
      <c r="V21" s="2" t="s">
        <v>166</v>
      </c>
      <c r="W21">
        <v>54000</v>
      </c>
      <c r="X21">
        <v>1</v>
      </c>
      <c r="Y21">
        <v>54000</v>
      </c>
      <c r="Z21">
        <v>380500</v>
      </c>
      <c r="AA21">
        <v>15</v>
      </c>
    </row>
    <row r="22" spans="1:27" x14ac:dyDescent="0.25">
      <c r="A22" s="2" t="s">
        <v>400</v>
      </c>
      <c r="B22" s="2" t="s">
        <v>78</v>
      </c>
      <c r="C22" s="2" t="s">
        <v>166</v>
      </c>
      <c r="D22" s="2" t="s">
        <v>401</v>
      </c>
      <c r="E22" s="2" t="s">
        <v>79</v>
      </c>
      <c r="F22">
        <v>102122</v>
      </c>
      <c r="G22" s="1">
        <v>45765</v>
      </c>
      <c r="H22" s="1">
        <v>45887</v>
      </c>
      <c r="I22">
        <v>122</v>
      </c>
      <c r="J22" s="2" t="s">
        <v>127</v>
      </c>
      <c r="K22" s="2" t="s">
        <v>402</v>
      </c>
      <c r="L22" s="2" t="s">
        <v>85</v>
      </c>
      <c r="M22">
        <v>1</v>
      </c>
      <c r="N22" s="1">
        <v>45870</v>
      </c>
      <c r="O22" s="2" t="s">
        <v>82</v>
      </c>
      <c r="P22">
        <v>6532</v>
      </c>
      <c r="Q22" s="2" t="s">
        <v>135</v>
      </c>
      <c r="S22" s="2" t="s">
        <v>166</v>
      </c>
      <c r="U22" s="2" t="s">
        <v>166</v>
      </c>
      <c r="V22" s="2" t="s">
        <v>166</v>
      </c>
      <c r="W22">
        <v>135600</v>
      </c>
      <c r="X22">
        <v>1</v>
      </c>
      <c r="Y22">
        <v>135600</v>
      </c>
      <c r="Z22">
        <v>175600</v>
      </c>
      <c r="AA22">
        <v>44</v>
      </c>
    </row>
    <row r="23" spans="1:27" x14ac:dyDescent="0.25">
      <c r="A23" s="2" t="s">
        <v>400</v>
      </c>
      <c r="B23" s="2" t="s">
        <v>78</v>
      </c>
      <c r="C23" s="2" t="s">
        <v>166</v>
      </c>
      <c r="D23" s="2" t="s">
        <v>401</v>
      </c>
      <c r="E23" s="2" t="s">
        <v>79</v>
      </c>
      <c r="F23">
        <v>102122</v>
      </c>
      <c r="G23" s="1">
        <v>45765</v>
      </c>
      <c r="H23" s="1">
        <v>45887</v>
      </c>
      <c r="I23">
        <v>122</v>
      </c>
      <c r="J23" s="2" t="s">
        <v>127</v>
      </c>
      <c r="K23" s="2" t="s">
        <v>402</v>
      </c>
      <c r="L23" s="2" t="s">
        <v>85</v>
      </c>
      <c r="M23">
        <v>2</v>
      </c>
      <c r="N23" s="1">
        <v>45870</v>
      </c>
      <c r="O23" s="2" t="s">
        <v>82</v>
      </c>
      <c r="P23">
        <v>6515</v>
      </c>
      <c r="Q23" s="2" t="s">
        <v>134</v>
      </c>
      <c r="S23" s="2" t="s">
        <v>166</v>
      </c>
      <c r="U23" s="2" t="s">
        <v>166</v>
      </c>
      <c r="V23" s="2" t="s">
        <v>166</v>
      </c>
      <c r="W23">
        <v>40000</v>
      </c>
      <c r="X23">
        <v>1</v>
      </c>
      <c r="Y23">
        <v>40000</v>
      </c>
      <c r="Z23">
        <v>175600</v>
      </c>
      <c r="AA23">
        <v>44</v>
      </c>
    </row>
    <row r="24" spans="1:27" x14ac:dyDescent="0.25">
      <c r="A24" s="2" t="s">
        <v>403</v>
      </c>
      <c r="B24" s="2" t="s">
        <v>78</v>
      </c>
      <c r="C24" s="2" t="s">
        <v>166</v>
      </c>
      <c r="D24" s="2" t="s">
        <v>404</v>
      </c>
      <c r="E24" s="2" t="s">
        <v>79</v>
      </c>
      <c r="F24">
        <v>102122</v>
      </c>
      <c r="G24" s="1">
        <v>45743</v>
      </c>
      <c r="H24" s="1">
        <v>45863</v>
      </c>
      <c r="I24">
        <v>120</v>
      </c>
      <c r="J24" s="2" t="s">
        <v>127</v>
      </c>
      <c r="K24" s="2" t="s">
        <v>405</v>
      </c>
      <c r="L24" s="2" t="s">
        <v>85</v>
      </c>
      <c r="M24">
        <v>1</v>
      </c>
      <c r="N24" s="1">
        <v>45667</v>
      </c>
      <c r="O24" s="2" t="s">
        <v>82</v>
      </c>
      <c r="P24">
        <v>8520</v>
      </c>
      <c r="Q24" s="2" t="s">
        <v>160</v>
      </c>
      <c r="S24" s="2" t="s">
        <v>166</v>
      </c>
      <c r="U24" s="2" t="s">
        <v>166</v>
      </c>
      <c r="V24" s="2" t="s">
        <v>166</v>
      </c>
      <c r="W24">
        <v>5000</v>
      </c>
      <c r="X24">
        <v>1</v>
      </c>
      <c r="Y24">
        <v>5000</v>
      </c>
      <c r="Z24">
        <v>8500</v>
      </c>
      <c r="AA24">
        <v>41</v>
      </c>
    </row>
    <row r="25" spans="1:27" x14ac:dyDescent="0.25">
      <c r="A25" s="2" t="s">
        <v>403</v>
      </c>
      <c r="B25" s="2" t="s">
        <v>78</v>
      </c>
      <c r="C25" s="2" t="s">
        <v>166</v>
      </c>
      <c r="D25" s="2" t="s">
        <v>404</v>
      </c>
      <c r="E25" s="2" t="s">
        <v>79</v>
      </c>
      <c r="F25">
        <v>102122</v>
      </c>
      <c r="G25" s="1">
        <v>45743</v>
      </c>
      <c r="H25" s="1">
        <v>45863</v>
      </c>
      <c r="I25">
        <v>120</v>
      </c>
      <c r="J25" s="2" t="s">
        <v>127</v>
      </c>
      <c r="K25" s="2" t="s">
        <v>405</v>
      </c>
      <c r="L25" s="2" t="s">
        <v>85</v>
      </c>
      <c r="M25">
        <v>8</v>
      </c>
      <c r="N25" s="1">
        <v>45667</v>
      </c>
      <c r="O25" s="2" t="s">
        <v>82</v>
      </c>
      <c r="P25">
        <v>8135</v>
      </c>
      <c r="Q25" s="2" t="s">
        <v>142</v>
      </c>
      <c r="S25" s="2" t="s">
        <v>166</v>
      </c>
      <c r="U25" s="2" t="s">
        <v>166</v>
      </c>
      <c r="V25" s="2" t="s">
        <v>166</v>
      </c>
      <c r="W25">
        <v>1000</v>
      </c>
      <c r="X25">
        <v>1</v>
      </c>
      <c r="Y25">
        <v>1000</v>
      </c>
      <c r="Z25">
        <v>8500</v>
      </c>
      <c r="AA25">
        <v>41</v>
      </c>
    </row>
    <row r="26" spans="1:27" x14ac:dyDescent="0.25">
      <c r="A26" s="2" t="s">
        <v>403</v>
      </c>
      <c r="B26" s="2" t="s">
        <v>78</v>
      </c>
      <c r="C26" s="2" t="s">
        <v>166</v>
      </c>
      <c r="D26" s="2" t="s">
        <v>404</v>
      </c>
      <c r="E26" s="2" t="s">
        <v>79</v>
      </c>
      <c r="F26">
        <v>102122</v>
      </c>
      <c r="G26" s="1">
        <v>45743</v>
      </c>
      <c r="H26" s="1">
        <v>45863</v>
      </c>
      <c r="I26">
        <v>120</v>
      </c>
      <c r="J26" s="2" t="s">
        <v>127</v>
      </c>
      <c r="K26" s="2" t="s">
        <v>405</v>
      </c>
      <c r="L26" s="2" t="s">
        <v>85</v>
      </c>
      <c r="M26">
        <v>9</v>
      </c>
      <c r="N26" s="1">
        <v>45667</v>
      </c>
      <c r="O26" s="2" t="s">
        <v>82</v>
      </c>
      <c r="P26">
        <v>8135</v>
      </c>
      <c r="Q26" s="2" t="s">
        <v>142</v>
      </c>
      <c r="S26" s="2" t="s">
        <v>166</v>
      </c>
      <c r="U26" s="2" t="s">
        <v>166</v>
      </c>
      <c r="V26" s="2" t="s">
        <v>166</v>
      </c>
      <c r="W26">
        <v>2500</v>
      </c>
      <c r="X26">
        <v>1</v>
      </c>
      <c r="Y26">
        <v>2500</v>
      </c>
      <c r="Z26">
        <v>8500</v>
      </c>
      <c r="AA26">
        <v>41</v>
      </c>
    </row>
    <row r="27" spans="1:27" x14ac:dyDescent="0.25">
      <c r="A27" s="2" t="s">
        <v>406</v>
      </c>
      <c r="B27" s="2" t="s">
        <v>78</v>
      </c>
      <c r="C27" s="2" t="s">
        <v>166</v>
      </c>
      <c r="D27" s="2" t="s">
        <v>407</v>
      </c>
      <c r="E27" s="2" t="s">
        <v>79</v>
      </c>
      <c r="F27">
        <v>102122</v>
      </c>
      <c r="G27" s="1">
        <v>45552</v>
      </c>
      <c r="H27" s="1">
        <v>45672</v>
      </c>
      <c r="I27">
        <v>120</v>
      </c>
      <c r="J27" s="2" t="s">
        <v>408</v>
      </c>
      <c r="K27" s="2" t="s">
        <v>409</v>
      </c>
      <c r="L27" s="2" t="s">
        <v>85</v>
      </c>
      <c r="M27">
        <v>1</v>
      </c>
      <c r="N27" s="1">
        <v>45731</v>
      </c>
      <c r="O27" s="2" t="s">
        <v>82</v>
      </c>
      <c r="P27">
        <v>6810</v>
      </c>
      <c r="Q27" s="2" t="s">
        <v>98</v>
      </c>
      <c r="S27" s="2" t="s">
        <v>166</v>
      </c>
      <c r="U27" s="2" t="s">
        <v>166</v>
      </c>
      <c r="V27" s="2" t="s">
        <v>166</v>
      </c>
      <c r="W27">
        <v>65000</v>
      </c>
      <c r="X27">
        <v>1</v>
      </c>
      <c r="Y27">
        <v>65000</v>
      </c>
      <c r="Z27">
        <v>83500</v>
      </c>
      <c r="AA27">
        <v>38</v>
      </c>
    </row>
    <row r="28" spans="1:27" x14ac:dyDescent="0.25">
      <c r="A28" s="2" t="s">
        <v>406</v>
      </c>
      <c r="B28" s="2" t="s">
        <v>78</v>
      </c>
      <c r="C28" s="2" t="s">
        <v>166</v>
      </c>
      <c r="D28" s="2" t="s">
        <v>407</v>
      </c>
      <c r="E28" s="2" t="s">
        <v>79</v>
      </c>
      <c r="F28">
        <v>102122</v>
      </c>
      <c r="G28" s="1">
        <v>45552</v>
      </c>
      <c r="H28" s="1">
        <v>45672</v>
      </c>
      <c r="I28">
        <v>120</v>
      </c>
      <c r="J28" s="2" t="s">
        <v>408</v>
      </c>
      <c r="K28" s="2" t="s">
        <v>409</v>
      </c>
      <c r="L28" s="2" t="s">
        <v>85</v>
      </c>
      <c r="M28">
        <v>2</v>
      </c>
      <c r="N28" s="1">
        <v>45731</v>
      </c>
      <c r="O28" s="2" t="s">
        <v>82</v>
      </c>
      <c r="P28">
        <v>6640</v>
      </c>
      <c r="Q28" s="2" t="s">
        <v>86</v>
      </c>
      <c r="S28" s="2" t="s">
        <v>166</v>
      </c>
      <c r="U28" s="2" t="s">
        <v>166</v>
      </c>
      <c r="V28" s="2" t="s">
        <v>166</v>
      </c>
      <c r="W28">
        <v>17500</v>
      </c>
      <c r="X28">
        <v>1</v>
      </c>
      <c r="Y28">
        <v>17500</v>
      </c>
      <c r="Z28">
        <v>83500</v>
      </c>
      <c r="AA28">
        <v>38</v>
      </c>
    </row>
    <row r="29" spans="1:27" x14ac:dyDescent="0.25">
      <c r="A29" s="2" t="s">
        <v>406</v>
      </c>
      <c r="B29" s="2" t="s">
        <v>78</v>
      </c>
      <c r="C29" s="2" t="s">
        <v>166</v>
      </c>
      <c r="D29" s="2" t="s">
        <v>407</v>
      </c>
      <c r="E29" s="2" t="s">
        <v>79</v>
      </c>
      <c r="F29">
        <v>102122</v>
      </c>
      <c r="G29" s="1">
        <v>45552</v>
      </c>
      <c r="H29" s="1">
        <v>45672</v>
      </c>
      <c r="I29">
        <v>120</v>
      </c>
      <c r="J29" s="2" t="s">
        <v>408</v>
      </c>
      <c r="K29" s="2" t="s">
        <v>409</v>
      </c>
      <c r="L29" s="2" t="s">
        <v>85</v>
      </c>
      <c r="M29">
        <v>3</v>
      </c>
      <c r="N29" s="1">
        <v>45731</v>
      </c>
      <c r="O29" s="2" t="s">
        <v>82</v>
      </c>
      <c r="P29">
        <v>9330</v>
      </c>
      <c r="Q29" s="2" t="s">
        <v>410</v>
      </c>
      <c r="S29" s="2" t="s">
        <v>166</v>
      </c>
      <c r="U29" s="2" t="s">
        <v>166</v>
      </c>
      <c r="V29" s="2" t="s">
        <v>166</v>
      </c>
      <c r="W29">
        <v>1000</v>
      </c>
      <c r="X29">
        <v>1</v>
      </c>
      <c r="Y29">
        <v>1000</v>
      </c>
      <c r="Z29">
        <v>83500</v>
      </c>
      <c r="AA29">
        <v>38</v>
      </c>
    </row>
    <row r="30" spans="1:27" x14ac:dyDescent="0.25">
      <c r="A30" s="2" t="s">
        <v>411</v>
      </c>
      <c r="B30" s="2" t="s">
        <v>78</v>
      </c>
      <c r="C30" s="2" t="s">
        <v>166</v>
      </c>
      <c r="D30" s="2" t="s">
        <v>412</v>
      </c>
      <c r="E30" s="2" t="s">
        <v>79</v>
      </c>
      <c r="F30">
        <v>102122</v>
      </c>
      <c r="G30" s="1">
        <v>45552</v>
      </c>
      <c r="H30" s="1">
        <v>45672</v>
      </c>
      <c r="I30">
        <v>120</v>
      </c>
      <c r="J30" s="2" t="s">
        <v>127</v>
      </c>
      <c r="K30" s="2" t="s">
        <v>405</v>
      </c>
      <c r="L30" s="2" t="s">
        <v>85</v>
      </c>
      <c r="M30">
        <v>3</v>
      </c>
      <c r="N30" s="1">
        <v>45667</v>
      </c>
      <c r="O30" s="2" t="s">
        <v>82</v>
      </c>
      <c r="P30">
        <v>6810</v>
      </c>
      <c r="Q30" s="2" t="s">
        <v>98</v>
      </c>
      <c r="S30" s="2" t="s">
        <v>166</v>
      </c>
      <c r="U30" s="2" t="s">
        <v>166</v>
      </c>
      <c r="V30" s="2" t="s">
        <v>166</v>
      </c>
      <c r="W30">
        <v>15000</v>
      </c>
      <c r="X30">
        <v>1</v>
      </c>
      <c r="Y30">
        <v>15000</v>
      </c>
      <c r="Z30">
        <v>65000</v>
      </c>
      <c r="AA30">
        <v>32</v>
      </c>
    </row>
    <row r="31" spans="1:27" x14ac:dyDescent="0.25">
      <c r="A31" s="2" t="s">
        <v>411</v>
      </c>
      <c r="B31" s="2" t="s">
        <v>78</v>
      </c>
      <c r="C31" s="2" t="s">
        <v>166</v>
      </c>
      <c r="D31" s="2" t="s">
        <v>412</v>
      </c>
      <c r="E31" s="2" t="s">
        <v>79</v>
      </c>
      <c r="F31">
        <v>102122</v>
      </c>
      <c r="G31" s="1">
        <v>45552</v>
      </c>
      <c r="H31" s="1">
        <v>45672</v>
      </c>
      <c r="I31">
        <v>120</v>
      </c>
      <c r="J31" s="2" t="s">
        <v>127</v>
      </c>
      <c r="K31" s="2" t="s">
        <v>405</v>
      </c>
      <c r="L31" s="2" t="s">
        <v>85</v>
      </c>
      <c r="M31">
        <v>4</v>
      </c>
      <c r="N31" s="1">
        <v>45667</v>
      </c>
      <c r="O31" s="2" t="s">
        <v>82</v>
      </c>
      <c r="P31">
        <v>6840</v>
      </c>
      <c r="Q31" s="2" t="s">
        <v>161</v>
      </c>
      <c r="S31" s="2" t="s">
        <v>166</v>
      </c>
      <c r="U31" s="2" t="s">
        <v>166</v>
      </c>
      <c r="V31" s="2" t="s">
        <v>166</v>
      </c>
      <c r="W31">
        <v>5000</v>
      </c>
      <c r="X31">
        <v>1</v>
      </c>
      <c r="Y31">
        <v>5000</v>
      </c>
      <c r="Z31">
        <v>65000</v>
      </c>
      <c r="AA31">
        <v>32</v>
      </c>
    </row>
    <row r="32" spans="1:27" x14ac:dyDescent="0.25">
      <c r="A32" s="2" t="s">
        <v>411</v>
      </c>
      <c r="B32" s="2" t="s">
        <v>78</v>
      </c>
      <c r="C32" s="2" t="s">
        <v>166</v>
      </c>
      <c r="D32" s="2" t="s">
        <v>412</v>
      </c>
      <c r="E32" s="2" t="s">
        <v>79</v>
      </c>
      <c r="F32">
        <v>102122</v>
      </c>
      <c r="G32" s="1">
        <v>45552</v>
      </c>
      <c r="H32" s="1">
        <v>45672</v>
      </c>
      <c r="I32">
        <v>120</v>
      </c>
      <c r="J32" s="2" t="s">
        <v>127</v>
      </c>
      <c r="K32" s="2" t="s">
        <v>405</v>
      </c>
      <c r="L32" s="2" t="s">
        <v>85</v>
      </c>
      <c r="M32">
        <v>5</v>
      </c>
      <c r="N32" s="1">
        <v>45667</v>
      </c>
      <c r="O32" s="2" t="s">
        <v>82</v>
      </c>
      <c r="P32">
        <v>7920</v>
      </c>
      <c r="Q32" s="2" t="s">
        <v>143</v>
      </c>
      <c r="S32" s="2" t="s">
        <v>166</v>
      </c>
      <c r="U32" s="2" t="s">
        <v>166</v>
      </c>
      <c r="V32" s="2" t="s">
        <v>166</v>
      </c>
      <c r="W32">
        <v>20000</v>
      </c>
      <c r="X32">
        <v>1</v>
      </c>
      <c r="Y32">
        <v>20000</v>
      </c>
      <c r="Z32">
        <v>65000</v>
      </c>
      <c r="AA32">
        <v>32</v>
      </c>
    </row>
    <row r="33" spans="1:27" x14ac:dyDescent="0.25">
      <c r="A33" s="2" t="s">
        <v>411</v>
      </c>
      <c r="B33" s="2" t="s">
        <v>78</v>
      </c>
      <c r="C33" s="2" t="s">
        <v>166</v>
      </c>
      <c r="D33" s="2" t="s">
        <v>412</v>
      </c>
      <c r="E33" s="2" t="s">
        <v>79</v>
      </c>
      <c r="F33">
        <v>102122</v>
      </c>
      <c r="G33" s="1">
        <v>45552</v>
      </c>
      <c r="H33" s="1">
        <v>45672</v>
      </c>
      <c r="I33">
        <v>120</v>
      </c>
      <c r="J33" s="2" t="s">
        <v>127</v>
      </c>
      <c r="K33" s="2" t="s">
        <v>405</v>
      </c>
      <c r="L33" s="2" t="s">
        <v>85</v>
      </c>
      <c r="M33">
        <v>6</v>
      </c>
      <c r="N33" s="1">
        <v>45667</v>
      </c>
      <c r="O33" s="2" t="s">
        <v>82</v>
      </c>
      <c r="P33">
        <v>8105</v>
      </c>
      <c r="Q33" s="2" t="s">
        <v>162</v>
      </c>
      <c r="S33" s="2" t="s">
        <v>166</v>
      </c>
      <c r="U33" s="2" t="s">
        <v>166</v>
      </c>
      <c r="V33" s="2" t="s">
        <v>166</v>
      </c>
      <c r="W33">
        <v>7000</v>
      </c>
      <c r="X33">
        <v>1</v>
      </c>
      <c r="Y33">
        <v>7000</v>
      </c>
      <c r="Z33">
        <v>65000</v>
      </c>
      <c r="AA33">
        <v>32</v>
      </c>
    </row>
    <row r="34" spans="1:27" x14ac:dyDescent="0.25">
      <c r="A34" s="2" t="s">
        <v>411</v>
      </c>
      <c r="B34" s="2" t="s">
        <v>78</v>
      </c>
      <c r="C34" s="2" t="s">
        <v>166</v>
      </c>
      <c r="D34" s="2" t="s">
        <v>412</v>
      </c>
      <c r="E34" s="2" t="s">
        <v>79</v>
      </c>
      <c r="F34">
        <v>102122</v>
      </c>
      <c r="G34" s="1">
        <v>45552</v>
      </c>
      <c r="H34" s="1">
        <v>45672</v>
      </c>
      <c r="I34">
        <v>120</v>
      </c>
      <c r="J34" s="2" t="s">
        <v>127</v>
      </c>
      <c r="K34" s="2" t="s">
        <v>405</v>
      </c>
      <c r="L34" s="2" t="s">
        <v>85</v>
      </c>
      <c r="M34">
        <v>7</v>
      </c>
      <c r="N34" s="1">
        <v>45667</v>
      </c>
      <c r="O34" s="2" t="s">
        <v>82</v>
      </c>
      <c r="P34">
        <v>7350</v>
      </c>
      <c r="Q34" s="2" t="s">
        <v>141</v>
      </c>
      <c r="S34" s="2" t="s">
        <v>166</v>
      </c>
      <c r="U34" s="2" t="s">
        <v>166</v>
      </c>
      <c r="V34" s="2" t="s">
        <v>166</v>
      </c>
      <c r="W34">
        <v>15000</v>
      </c>
      <c r="X34">
        <v>1</v>
      </c>
      <c r="Y34">
        <v>15000</v>
      </c>
      <c r="Z34">
        <v>65000</v>
      </c>
      <c r="AA34">
        <v>32</v>
      </c>
    </row>
    <row r="35" spans="1:27" x14ac:dyDescent="0.25">
      <c r="A35" s="2" t="s">
        <v>411</v>
      </c>
      <c r="B35" s="2" t="s">
        <v>78</v>
      </c>
      <c r="C35" s="2" t="s">
        <v>166</v>
      </c>
      <c r="D35" s="2" t="s">
        <v>412</v>
      </c>
      <c r="E35" s="2" t="s">
        <v>79</v>
      </c>
      <c r="F35">
        <v>102122</v>
      </c>
      <c r="G35" s="1">
        <v>45552</v>
      </c>
      <c r="H35" s="1">
        <v>45672</v>
      </c>
      <c r="I35">
        <v>120</v>
      </c>
      <c r="J35" s="2" t="s">
        <v>127</v>
      </c>
      <c r="K35" s="2" t="s">
        <v>405</v>
      </c>
      <c r="L35" s="2" t="s">
        <v>85</v>
      </c>
      <c r="M35">
        <v>10</v>
      </c>
      <c r="N35" s="1">
        <v>45667</v>
      </c>
      <c r="O35" s="2" t="s">
        <v>82</v>
      </c>
      <c r="P35">
        <v>7330</v>
      </c>
      <c r="Q35" s="2" t="s">
        <v>163</v>
      </c>
      <c r="S35" s="2" t="s">
        <v>166</v>
      </c>
      <c r="U35" s="2" t="s">
        <v>166</v>
      </c>
      <c r="V35" s="2" t="s">
        <v>166</v>
      </c>
      <c r="W35">
        <v>3000</v>
      </c>
      <c r="X35">
        <v>1</v>
      </c>
      <c r="Y35">
        <v>3000</v>
      </c>
      <c r="Z35">
        <v>65000</v>
      </c>
      <c r="AA35">
        <v>32</v>
      </c>
    </row>
    <row r="36" spans="1:27" x14ac:dyDescent="0.25">
      <c r="A36" s="2" t="s">
        <v>413</v>
      </c>
      <c r="B36" s="2" t="s">
        <v>78</v>
      </c>
      <c r="C36" s="2" t="s">
        <v>166</v>
      </c>
      <c r="D36" s="2" t="s">
        <v>414</v>
      </c>
      <c r="E36" s="2" t="s">
        <v>79</v>
      </c>
      <c r="F36">
        <v>102122</v>
      </c>
      <c r="G36" s="1">
        <v>45601</v>
      </c>
      <c r="H36" s="1">
        <v>45721</v>
      </c>
      <c r="I36">
        <v>120</v>
      </c>
      <c r="J36" s="2" t="s">
        <v>127</v>
      </c>
      <c r="K36" s="2" t="s">
        <v>405</v>
      </c>
      <c r="L36" s="2" t="s">
        <v>85</v>
      </c>
      <c r="M36">
        <v>2</v>
      </c>
      <c r="N36" s="1">
        <v>45667</v>
      </c>
      <c r="O36" s="2" t="s">
        <v>82</v>
      </c>
      <c r="P36">
        <v>8540</v>
      </c>
      <c r="Q36" s="2" t="s">
        <v>140</v>
      </c>
      <c r="S36" s="2" t="s">
        <v>166</v>
      </c>
      <c r="U36" s="2" t="s">
        <v>166</v>
      </c>
      <c r="V36" s="2" t="s">
        <v>166</v>
      </c>
      <c r="W36">
        <v>125000</v>
      </c>
      <c r="X36">
        <v>1</v>
      </c>
      <c r="Y36">
        <v>125000</v>
      </c>
      <c r="Z36">
        <v>125000</v>
      </c>
      <c r="AA36">
        <v>31</v>
      </c>
    </row>
    <row r="37" spans="1:27" x14ac:dyDescent="0.25">
      <c r="A37" s="2" t="s">
        <v>415</v>
      </c>
      <c r="B37" s="2" t="s">
        <v>78</v>
      </c>
      <c r="C37" s="2" t="s">
        <v>166</v>
      </c>
      <c r="D37" s="2" t="s">
        <v>416</v>
      </c>
      <c r="E37" s="2" t="s">
        <v>79</v>
      </c>
      <c r="F37">
        <v>102122</v>
      </c>
      <c r="G37" s="1">
        <v>45775</v>
      </c>
      <c r="H37" s="1">
        <v>45895</v>
      </c>
      <c r="I37">
        <v>120</v>
      </c>
      <c r="J37" s="2" t="s">
        <v>127</v>
      </c>
      <c r="K37" s="2" t="s">
        <v>417</v>
      </c>
      <c r="L37" s="2" t="s">
        <v>85</v>
      </c>
      <c r="M37">
        <v>1</v>
      </c>
      <c r="N37" s="1">
        <v>45848</v>
      </c>
      <c r="O37" s="2" t="s">
        <v>82</v>
      </c>
      <c r="P37">
        <v>8955</v>
      </c>
      <c r="Q37" s="2" t="s">
        <v>137</v>
      </c>
      <c r="S37" s="2" t="s">
        <v>166</v>
      </c>
      <c r="U37" s="2" t="s">
        <v>166</v>
      </c>
      <c r="V37" s="2" t="s">
        <v>166</v>
      </c>
      <c r="W37">
        <v>32500</v>
      </c>
      <c r="X37">
        <v>1</v>
      </c>
      <c r="Y37">
        <v>32500</v>
      </c>
      <c r="Z37">
        <v>40000</v>
      </c>
      <c r="AA37">
        <v>28</v>
      </c>
    </row>
    <row r="38" spans="1:27" x14ac:dyDescent="0.25">
      <c r="A38" s="2" t="s">
        <v>415</v>
      </c>
      <c r="B38" s="2" t="s">
        <v>78</v>
      </c>
      <c r="C38" s="2" t="s">
        <v>166</v>
      </c>
      <c r="D38" s="2" t="s">
        <v>416</v>
      </c>
      <c r="E38" s="2" t="s">
        <v>79</v>
      </c>
      <c r="F38">
        <v>102122</v>
      </c>
      <c r="G38" s="1">
        <v>45775</v>
      </c>
      <c r="H38" s="1">
        <v>45895</v>
      </c>
      <c r="I38">
        <v>120</v>
      </c>
      <c r="J38" s="2" t="s">
        <v>127</v>
      </c>
      <c r="K38" s="2" t="s">
        <v>417</v>
      </c>
      <c r="L38" s="2" t="s">
        <v>85</v>
      </c>
      <c r="M38">
        <v>2</v>
      </c>
      <c r="N38" s="1">
        <v>45848</v>
      </c>
      <c r="O38" s="2" t="s">
        <v>82</v>
      </c>
      <c r="P38">
        <v>8940</v>
      </c>
      <c r="Q38" s="2" t="s">
        <v>138</v>
      </c>
      <c r="S38" s="2" t="s">
        <v>166</v>
      </c>
      <c r="U38" s="2" t="s">
        <v>166</v>
      </c>
      <c r="V38" s="2" t="s">
        <v>166</v>
      </c>
      <c r="W38">
        <v>2500</v>
      </c>
      <c r="X38">
        <v>1</v>
      </c>
      <c r="Y38">
        <v>2500</v>
      </c>
      <c r="Z38">
        <v>40000</v>
      </c>
      <c r="AA38">
        <v>28</v>
      </c>
    </row>
    <row r="39" spans="1:27" x14ac:dyDescent="0.25">
      <c r="A39" s="2" t="s">
        <v>415</v>
      </c>
      <c r="B39" s="2" t="s">
        <v>78</v>
      </c>
      <c r="C39" s="2" t="s">
        <v>166</v>
      </c>
      <c r="D39" s="2" t="s">
        <v>416</v>
      </c>
      <c r="E39" s="2" t="s">
        <v>79</v>
      </c>
      <c r="F39">
        <v>102122</v>
      </c>
      <c r="G39" s="1">
        <v>45775</v>
      </c>
      <c r="H39" s="1">
        <v>45895</v>
      </c>
      <c r="I39">
        <v>120</v>
      </c>
      <c r="J39" s="2" t="s">
        <v>127</v>
      </c>
      <c r="K39" s="2" t="s">
        <v>417</v>
      </c>
      <c r="L39" s="2" t="s">
        <v>85</v>
      </c>
      <c r="M39">
        <v>3</v>
      </c>
      <c r="N39" s="1">
        <v>45848</v>
      </c>
      <c r="O39" s="2" t="s">
        <v>82</v>
      </c>
      <c r="P39">
        <v>8925</v>
      </c>
      <c r="Q39" s="2" t="s">
        <v>139</v>
      </c>
      <c r="S39" s="2" t="s">
        <v>166</v>
      </c>
      <c r="U39" s="2" t="s">
        <v>166</v>
      </c>
      <c r="V39" s="2" t="s">
        <v>166</v>
      </c>
      <c r="W39">
        <v>5000</v>
      </c>
      <c r="X39">
        <v>1</v>
      </c>
      <c r="Y39">
        <v>5000</v>
      </c>
      <c r="Z39">
        <v>40000</v>
      </c>
      <c r="AA39">
        <v>28</v>
      </c>
    </row>
    <row r="40" spans="1:27" x14ac:dyDescent="0.25">
      <c r="A40" s="2" t="s">
        <v>418</v>
      </c>
      <c r="B40" s="2" t="s">
        <v>78</v>
      </c>
      <c r="C40" s="2" t="s">
        <v>166</v>
      </c>
      <c r="D40" s="2" t="s">
        <v>419</v>
      </c>
      <c r="E40" s="2" t="s">
        <v>79</v>
      </c>
      <c r="F40">
        <v>102122</v>
      </c>
      <c r="G40" s="1">
        <v>45705</v>
      </c>
      <c r="H40" s="1">
        <v>45825</v>
      </c>
      <c r="I40">
        <v>120</v>
      </c>
      <c r="J40" s="2" t="s">
        <v>103</v>
      </c>
      <c r="K40" s="2" t="s">
        <v>420</v>
      </c>
      <c r="L40" s="2" t="s">
        <v>85</v>
      </c>
      <c r="M40">
        <v>1</v>
      </c>
      <c r="N40" s="1">
        <v>45809</v>
      </c>
      <c r="O40" s="2" t="s">
        <v>82</v>
      </c>
      <c r="P40">
        <v>6810</v>
      </c>
      <c r="Q40" s="2" t="s">
        <v>98</v>
      </c>
      <c r="S40" s="2" t="s">
        <v>166</v>
      </c>
      <c r="U40" s="2" t="s">
        <v>166</v>
      </c>
      <c r="V40" s="2" t="s">
        <v>166</v>
      </c>
      <c r="W40">
        <v>65000</v>
      </c>
      <c r="X40">
        <v>1</v>
      </c>
      <c r="Y40">
        <v>65000</v>
      </c>
      <c r="Z40">
        <v>104000</v>
      </c>
      <c r="AA40">
        <v>23</v>
      </c>
    </row>
    <row r="41" spans="1:27" x14ac:dyDescent="0.25">
      <c r="A41" s="2" t="s">
        <v>418</v>
      </c>
      <c r="B41" s="2" t="s">
        <v>78</v>
      </c>
      <c r="C41" s="2" t="s">
        <v>166</v>
      </c>
      <c r="D41" s="2" t="s">
        <v>419</v>
      </c>
      <c r="E41" s="2" t="s">
        <v>79</v>
      </c>
      <c r="F41">
        <v>102122</v>
      </c>
      <c r="G41" s="1">
        <v>45705</v>
      </c>
      <c r="H41" s="1">
        <v>45825</v>
      </c>
      <c r="I41">
        <v>120</v>
      </c>
      <c r="J41" s="2" t="s">
        <v>103</v>
      </c>
      <c r="K41" s="2" t="s">
        <v>420</v>
      </c>
      <c r="L41" s="2" t="s">
        <v>85</v>
      </c>
      <c r="M41">
        <v>3</v>
      </c>
      <c r="N41" s="1">
        <v>45809</v>
      </c>
      <c r="O41" s="2" t="s">
        <v>82</v>
      </c>
      <c r="P41">
        <v>6640</v>
      </c>
      <c r="Q41" s="2" t="s">
        <v>86</v>
      </c>
      <c r="S41" s="2" t="s">
        <v>166</v>
      </c>
      <c r="U41" s="2" t="s">
        <v>166</v>
      </c>
      <c r="V41" s="2" t="s">
        <v>166</v>
      </c>
      <c r="W41">
        <v>10000</v>
      </c>
      <c r="X41">
        <v>1</v>
      </c>
      <c r="Y41">
        <v>10000</v>
      </c>
      <c r="Z41">
        <v>104000</v>
      </c>
      <c r="AA41">
        <v>23</v>
      </c>
    </row>
    <row r="42" spans="1:27" x14ac:dyDescent="0.25">
      <c r="A42" s="2" t="s">
        <v>418</v>
      </c>
      <c r="B42" s="2" t="s">
        <v>78</v>
      </c>
      <c r="C42" s="2" t="s">
        <v>166</v>
      </c>
      <c r="D42" s="2" t="s">
        <v>419</v>
      </c>
      <c r="E42" s="2" t="s">
        <v>79</v>
      </c>
      <c r="F42">
        <v>102122</v>
      </c>
      <c r="G42" s="1">
        <v>45705</v>
      </c>
      <c r="H42" s="1">
        <v>45825</v>
      </c>
      <c r="I42">
        <v>120</v>
      </c>
      <c r="J42" s="2" t="s">
        <v>103</v>
      </c>
      <c r="K42" s="2" t="s">
        <v>420</v>
      </c>
      <c r="L42" s="2" t="s">
        <v>85</v>
      </c>
      <c r="M42">
        <v>4</v>
      </c>
      <c r="N42" s="1">
        <v>45809</v>
      </c>
      <c r="O42" s="2" t="s">
        <v>82</v>
      </c>
      <c r="P42">
        <v>4460</v>
      </c>
      <c r="Q42" s="2" t="s">
        <v>421</v>
      </c>
      <c r="S42" s="2" t="s">
        <v>166</v>
      </c>
      <c r="U42" s="2" t="s">
        <v>166</v>
      </c>
      <c r="V42" s="2" t="s">
        <v>166</v>
      </c>
      <c r="W42">
        <v>13000</v>
      </c>
      <c r="X42">
        <v>1</v>
      </c>
      <c r="Y42">
        <v>13000</v>
      </c>
      <c r="Z42">
        <v>104000</v>
      </c>
      <c r="AA42">
        <v>23</v>
      </c>
    </row>
    <row r="43" spans="1:27" x14ac:dyDescent="0.25">
      <c r="A43" s="2" t="s">
        <v>418</v>
      </c>
      <c r="B43" s="2" t="s">
        <v>78</v>
      </c>
      <c r="C43" s="2" t="s">
        <v>166</v>
      </c>
      <c r="D43" s="2" t="s">
        <v>419</v>
      </c>
      <c r="E43" s="2" t="s">
        <v>79</v>
      </c>
      <c r="F43">
        <v>102122</v>
      </c>
      <c r="G43" s="1">
        <v>45705</v>
      </c>
      <c r="H43" s="1">
        <v>45825</v>
      </c>
      <c r="I43">
        <v>120</v>
      </c>
      <c r="J43" s="2" t="s">
        <v>103</v>
      </c>
      <c r="K43" s="2" t="s">
        <v>420</v>
      </c>
      <c r="L43" s="2" t="s">
        <v>85</v>
      </c>
      <c r="M43">
        <v>5</v>
      </c>
      <c r="N43" s="1">
        <v>45809</v>
      </c>
      <c r="O43" s="2" t="s">
        <v>82</v>
      </c>
      <c r="P43">
        <v>6640</v>
      </c>
      <c r="Q43" s="2" t="s">
        <v>86</v>
      </c>
      <c r="S43" s="2" t="s">
        <v>166</v>
      </c>
      <c r="U43" s="2" t="s">
        <v>166</v>
      </c>
      <c r="V43" s="2" t="s">
        <v>166</v>
      </c>
      <c r="W43">
        <v>6000</v>
      </c>
      <c r="X43">
        <v>1</v>
      </c>
      <c r="Y43">
        <v>6000</v>
      </c>
      <c r="Z43">
        <v>104000</v>
      </c>
      <c r="AA43">
        <v>23</v>
      </c>
    </row>
    <row r="44" spans="1:27" x14ac:dyDescent="0.25">
      <c r="A44" s="2" t="s">
        <v>418</v>
      </c>
      <c r="B44" s="2" t="s">
        <v>78</v>
      </c>
      <c r="C44" s="2" t="s">
        <v>166</v>
      </c>
      <c r="D44" s="2" t="s">
        <v>419</v>
      </c>
      <c r="E44" s="2" t="s">
        <v>79</v>
      </c>
      <c r="F44">
        <v>102122</v>
      </c>
      <c r="G44" s="1">
        <v>45705</v>
      </c>
      <c r="H44" s="1">
        <v>45825</v>
      </c>
      <c r="I44">
        <v>120</v>
      </c>
      <c r="J44" s="2" t="s">
        <v>103</v>
      </c>
      <c r="K44" s="2" t="s">
        <v>380</v>
      </c>
      <c r="L44" s="2" t="s">
        <v>85</v>
      </c>
      <c r="M44">
        <v>2</v>
      </c>
      <c r="N44" s="1">
        <v>45853</v>
      </c>
      <c r="O44" s="2" t="s">
        <v>82</v>
      </c>
      <c r="P44">
        <v>6640</v>
      </c>
      <c r="Q44" s="2" t="s">
        <v>86</v>
      </c>
      <c r="S44" s="2" t="s">
        <v>166</v>
      </c>
      <c r="U44" s="2" t="s">
        <v>166</v>
      </c>
      <c r="V44" s="2" t="s">
        <v>166</v>
      </c>
      <c r="W44">
        <v>10000</v>
      </c>
      <c r="X44">
        <v>1</v>
      </c>
      <c r="Y44">
        <v>10000</v>
      </c>
      <c r="Z44">
        <v>104000</v>
      </c>
      <c r="AA44">
        <v>23</v>
      </c>
    </row>
    <row r="45" spans="1:27" x14ac:dyDescent="0.25">
      <c r="A45" s="2" t="s">
        <v>422</v>
      </c>
      <c r="B45" s="2" t="s">
        <v>78</v>
      </c>
      <c r="C45" s="2" t="s">
        <v>166</v>
      </c>
      <c r="D45" s="2" t="s">
        <v>423</v>
      </c>
      <c r="E45" s="2" t="s">
        <v>79</v>
      </c>
      <c r="F45">
        <v>102122</v>
      </c>
      <c r="G45" s="1">
        <v>45897</v>
      </c>
      <c r="H45" s="1">
        <v>45989</v>
      </c>
      <c r="I45">
        <v>92</v>
      </c>
      <c r="J45" s="2" t="s">
        <v>83</v>
      </c>
      <c r="K45" s="2" t="s">
        <v>424</v>
      </c>
      <c r="L45" s="2" t="s">
        <v>85</v>
      </c>
      <c r="M45">
        <v>2</v>
      </c>
      <c r="N45" s="1">
        <v>45868</v>
      </c>
      <c r="O45" s="2" t="s">
        <v>82</v>
      </c>
      <c r="P45">
        <v>5895</v>
      </c>
      <c r="Q45" s="2" t="s">
        <v>425</v>
      </c>
      <c r="S45" s="2" t="s">
        <v>166</v>
      </c>
      <c r="U45" s="2" t="s">
        <v>166</v>
      </c>
      <c r="V45" s="2" t="s">
        <v>166</v>
      </c>
      <c r="W45">
        <v>5000</v>
      </c>
      <c r="X45">
        <v>1</v>
      </c>
      <c r="Y45">
        <v>5000</v>
      </c>
      <c r="Z45">
        <v>5000</v>
      </c>
      <c r="AA45">
        <v>22</v>
      </c>
    </row>
    <row r="46" spans="1:27" x14ac:dyDescent="0.25">
      <c r="A46" s="2" t="s">
        <v>426</v>
      </c>
      <c r="B46" s="2" t="s">
        <v>78</v>
      </c>
      <c r="C46" s="2" t="s">
        <v>166</v>
      </c>
      <c r="D46" s="2" t="s">
        <v>427</v>
      </c>
      <c r="E46" s="2" t="s">
        <v>79</v>
      </c>
      <c r="F46">
        <v>102122</v>
      </c>
      <c r="G46" s="1">
        <v>45610</v>
      </c>
      <c r="H46" s="1">
        <v>45730</v>
      </c>
      <c r="I46">
        <v>120</v>
      </c>
      <c r="J46" s="2" t="s">
        <v>128</v>
      </c>
      <c r="K46" s="2" t="s">
        <v>428</v>
      </c>
      <c r="L46" s="2" t="s">
        <v>81</v>
      </c>
      <c r="M46">
        <v>1</v>
      </c>
      <c r="N46" s="1">
        <v>45839</v>
      </c>
      <c r="O46" s="2" t="s">
        <v>82</v>
      </c>
      <c r="P46">
        <v>6515</v>
      </c>
      <c r="Q46" s="2" t="s">
        <v>134</v>
      </c>
      <c r="S46" s="2" t="s">
        <v>166</v>
      </c>
      <c r="U46" s="2" t="s">
        <v>166</v>
      </c>
      <c r="V46" s="2" t="s">
        <v>166</v>
      </c>
      <c r="W46">
        <v>3190</v>
      </c>
      <c r="X46">
        <v>1</v>
      </c>
      <c r="Y46">
        <v>3190</v>
      </c>
      <c r="Z46">
        <v>41240</v>
      </c>
      <c r="AA46">
        <v>18</v>
      </c>
    </row>
    <row r="47" spans="1:27" x14ac:dyDescent="0.25">
      <c r="A47" s="2" t="s">
        <v>426</v>
      </c>
      <c r="B47" s="2" t="s">
        <v>78</v>
      </c>
      <c r="C47" s="2" t="s">
        <v>166</v>
      </c>
      <c r="D47" s="2" t="s">
        <v>427</v>
      </c>
      <c r="E47" s="2" t="s">
        <v>79</v>
      </c>
      <c r="F47">
        <v>102122</v>
      </c>
      <c r="G47" s="1">
        <v>45610</v>
      </c>
      <c r="H47" s="1">
        <v>45730</v>
      </c>
      <c r="I47">
        <v>120</v>
      </c>
      <c r="J47" s="2" t="s">
        <v>128</v>
      </c>
      <c r="K47" s="2" t="s">
        <v>428</v>
      </c>
      <c r="L47" s="2" t="s">
        <v>81</v>
      </c>
      <c r="M47">
        <v>2</v>
      </c>
      <c r="N47" s="1">
        <v>45839</v>
      </c>
      <c r="O47" s="2" t="s">
        <v>82</v>
      </c>
      <c r="P47">
        <v>6532</v>
      </c>
      <c r="Q47" s="2" t="s">
        <v>135</v>
      </c>
      <c r="S47" s="2" t="s">
        <v>166</v>
      </c>
      <c r="U47" s="2" t="s">
        <v>166</v>
      </c>
      <c r="V47" s="2" t="s">
        <v>166</v>
      </c>
      <c r="W47">
        <v>1000</v>
      </c>
      <c r="X47">
        <v>1</v>
      </c>
      <c r="Y47">
        <v>1000</v>
      </c>
      <c r="Z47">
        <v>41240</v>
      </c>
      <c r="AA47">
        <v>18</v>
      </c>
    </row>
    <row r="48" spans="1:27" x14ac:dyDescent="0.25">
      <c r="A48" s="2" t="s">
        <v>426</v>
      </c>
      <c r="B48" s="2" t="s">
        <v>78</v>
      </c>
      <c r="C48" s="2" t="s">
        <v>166</v>
      </c>
      <c r="D48" s="2" t="s">
        <v>427</v>
      </c>
      <c r="E48" s="2" t="s">
        <v>79</v>
      </c>
      <c r="F48">
        <v>102122</v>
      </c>
      <c r="G48" s="1">
        <v>45610</v>
      </c>
      <c r="H48" s="1">
        <v>45730</v>
      </c>
      <c r="I48">
        <v>120</v>
      </c>
      <c r="J48" s="2" t="s">
        <v>93</v>
      </c>
      <c r="K48" s="2" t="s">
        <v>360</v>
      </c>
      <c r="L48" s="2" t="s">
        <v>85</v>
      </c>
      <c r="M48">
        <v>1</v>
      </c>
      <c r="N48" s="1">
        <v>45809</v>
      </c>
      <c r="O48" s="2" t="s">
        <v>82</v>
      </c>
      <c r="P48">
        <v>6515</v>
      </c>
      <c r="Q48" s="2" t="s">
        <v>134</v>
      </c>
      <c r="S48" s="2" t="s">
        <v>166</v>
      </c>
      <c r="U48" s="2" t="s">
        <v>166</v>
      </c>
      <c r="V48" s="2" t="s">
        <v>166</v>
      </c>
      <c r="W48">
        <v>5500</v>
      </c>
      <c r="X48">
        <v>1</v>
      </c>
      <c r="Y48">
        <v>5500</v>
      </c>
      <c r="Z48">
        <v>41240</v>
      </c>
      <c r="AA48">
        <v>18</v>
      </c>
    </row>
    <row r="49" spans="1:27" x14ac:dyDescent="0.25">
      <c r="A49" s="2" t="s">
        <v>426</v>
      </c>
      <c r="B49" s="2" t="s">
        <v>78</v>
      </c>
      <c r="C49" s="2" t="s">
        <v>166</v>
      </c>
      <c r="D49" s="2" t="s">
        <v>427</v>
      </c>
      <c r="E49" s="2" t="s">
        <v>79</v>
      </c>
      <c r="F49">
        <v>102122</v>
      </c>
      <c r="G49" s="1">
        <v>45610</v>
      </c>
      <c r="H49" s="1">
        <v>45730</v>
      </c>
      <c r="I49">
        <v>120</v>
      </c>
      <c r="J49" s="2" t="s">
        <v>93</v>
      </c>
      <c r="K49" s="2" t="s">
        <v>429</v>
      </c>
      <c r="L49" s="2" t="s">
        <v>85</v>
      </c>
      <c r="M49">
        <v>1</v>
      </c>
      <c r="N49" s="1">
        <v>45718</v>
      </c>
      <c r="O49" s="2" t="s">
        <v>82</v>
      </c>
      <c r="P49">
        <v>6515</v>
      </c>
      <c r="Q49" s="2" t="s">
        <v>134</v>
      </c>
      <c r="S49" s="2" t="s">
        <v>166</v>
      </c>
      <c r="U49" s="2" t="s">
        <v>166</v>
      </c>
      <c r="V49" s="2" t="s">
        <v>166</v>
      </c>
      <c r="W49">
        <v>31550</v>
      </c>
      <c r="X49">
        <v>1</v>
      </c>
      <c r="Y49">
        <v>31550</v>
      </c>
      <c r="Z49">
        <v>41240</v>
      </c>
      <c r="AA49">
        <v>18</v>
      </c>
    </row>
    <row r="50" spans="1:27" x14ac:dyDescent="0.25">
      <c r="A50" s="2" t="s">
        <v>430</v>
      </c>
      <c r="B50" s="2" t="s">
        <v>78</v>
      </c>
      <c r="C50" s="2" t="s">
        <v>166</v>
      </c>
      <c r="D50" s="2" t="s">
        <v>431</v>
      </c>
      <c r="E50" s="2" t="s">
        <v>79</v>
      </c>
      <c r="F50">
        <v>102122</v>
      </c>
      <c r="G50" s="1">
        <v>45555</v>
      </c>
      <c r="H50" s="1">
        <v>45677</v>
      </c>
      <c r="I50">
        <v>122</v>
      </c>
      <c r="J50" s="2" t="s">
        <v>90</v>
      </c>
      <c r="K50" s="2" t="s">
        <v>432</v>
      </c>
      <c r="L50" s="2" t="s">
        <v>85</v>
      </c>
      <c r="M50">
        <v>1</v>
      </c>
      <c r="N50" s="1">
        <v>45716</v>
      </c>
      <c r="O50" s="2" t="s">
        <v>82</v>
      </c>
      <c r="P50">
        <v>6520</v>
      </c>
      <c r="Q50" s="2" t="s">
        <v>88</v>
      </c>
      <c r="S50" s="2" t="s">
        <v>166</v>
      </c>
      <c r="U50" s="2" t="s">
        <v>166</v>
      </c>
      <c r="V50" s="2" t="s">
        <v>166</v>
      </c>
      <c r="W50">
        <v>135000</v>
      </c>
      <c r="X50">
        <v>1</v>
      </c>
      <c r="Y50">
        <v>135000</v>
      </c>
      <c r="Z50">
        <v>186400</v>
      </c>
      <c r="AA50">
        <v>15</v>
      </c>
    </row>
    <row r="51" spans="1:27" x14ac:dyDescent="0.25">
      <c r="A51" s="2" t="s">
        <v>430</v>
      </c>
      <c r="B51" s="2" t="s">
        <v>78</v>
      </c>
      <c r="C51" s="2" t="s">
        <v>166</v>
      </c>
      <c r="D51" s="2" t="s">
        <v>431</v>
      </c>
      <c r="E51" s="2" t="s">
        <v>79</v>
      </c>
      <c r="F51">
        <v>102122</v>
      </c>
      <c r="G51" s="1">
        <v>45555</v>
      </c>
      <c r="H51" s="1">
        <v>45677</v>
      </c>
      <c r="I51">
        <v>122</v>
      </c>
      <c r="J51" s="2" t="s">
        <v>128</v>
      </c>
      <c r="K51" s="2" t="s">
        <v>433</v>
      </c>
      <c r="L51" s="2" t="s">
        <v>81</v>
      </c>
      <c r="M51">
        <v>1</v>
      </c>
      <c r="N51" s="1">
        <v>45839</v>
      </c>
      <c r="O51" s="2" t="s">
        <v>82</v>
      </c>
      <c r="P51">
        <v>6520</v>
      </c>
      <c r="Q51" s="2" t="s">
        <v>88</v>
      </c>
      <c r="S51" s="2" t="s">
        <v>166</v>
      </c>
      <c r="U51" s="2" t="s">
        <v>166</v>
      </c>
      <c r="V51" s="2" t="s">
        <v>166</v>
      </c>
      <c r="W51">
        <v>40000</v>
      </c>
      <c r="X51">
        <v>1</v>
      </c>
      <c r="Y51">
        <v>40000</v>
      </c>
      <c r="Z51">
        <v>186400</v>
      </c>
      <c r="AA51">
        <v>15</v>
      </c>
    </row>
    <row r="52" spans="1:27" x14ac:dyDescent="0.25">
      <c r="A52" s="2" t="s">
        <v>430</v>
      </c>
      <c r="B52" s="2" t="s">
        <v>78</v>
      </c>
      <c r="C52" s="2" t="s">
        <v>166</v>
      </c>
      <c r="D52" s="2" t="s">
        <v>431</v>
      </c>
      <c r="E52" s="2" t="s">
        <v>79</v>
      </c>
      <c r="F52">
        <v>102122</v>
      </c>
      <c r="G52" s="1">
        <v>45555</v>
      </c>
      <c r="H52" s="1">
        <v>45677</v>
      </c>
      <c r="I52">
        <v>122</v>
      </c>
      <c r="J52" s="2" t="s">
        <v>91</v>
      </c>
      <c r="K52" s="2" t="s">
        <v>434</v>
      </c>
      <c r="L52" s="2" t="s">
        <v>85</v>
      </c>
      <c r="M52">
        <v>1</v>
      </c>
      <c r="N52" s="1">
        <v>45736</v>
      </c>
      <c r="O52" s="2" t="s">
        <v>82</v>
      </c>
      <c r="P52">
        <v>6520</v>
      </c>
      <c r="Q52" s="2" t="s">
        <v>88</v>
      </c>
      <c r="S52" s="2" t="s">
        <v>166</v>
      </c>
      <c r="U52" s="2" t="s">
        <v>166</v>
      </c>
      <c r="V52" s="2" t="s">
        <v>166</v>
      </c>
      <c r="W52">
        <v>11400</v>
      </c>
      <c r="X52">
        <v>1</v>
      </c>
      <c r="Y52">
        <v>11400</v>
      </c>
      <c r="Z52">
        <v>186400</v>
      </c>
      <c r="AA52">
        <v>15</v>
      </c>
    </row>
    <row r="53" spans="1:27" x14ac:dyDescent="0.25">
      <c r="A53" s="2" t="s">
        <v>435</v>
      </c>
      <c r="B53" s="2" t="s">
        <v>78</v>
      </c>
      <c r="C53" s="2" t="s">
        <v>166</v>
      </c>
      <c r="D53" s="2" t="s">
        <v>436</v>
      </c>
      <c r="E53" s="2" t="s">
        <v>79</v>
      </c>
      <c r="F53">
        <v>102122</v>
      </c>
      <c r="G53" s="1">
        <v>45637</v>
      </c>
      <c r="H53" s="1">
        <v>45757</v>
      </c>
      <c r="I53">
        <v>120</v>
      </c>
      <c r="J53" s="2" t="s">
        <v>83</v>
      </c>
      <c r="K53" s="2" t="s">
        <v>437</v>
      </c>
      <c r="L53" s="2" t="s">
        <v>85</v>
      </c>
      <c r="M53">
        <v>1</v>
      </c>
      <c r="N53" s="1">
        <v>45746</v>
      </c>
      <c r="O53" s="2" t="s">
        <v>82</v>
      </c>
      <c r="P53">
        <v>6520</v>
      </c>
      <c r="Q53" s="2" t="s">
        <v>88</v>
      </c>
      <c r="S53" s="2" t="s">
        <v>166</v>
      </c>
      <c r="U53" s="2" t="s">
        <v>166</v>
      </c>
      <c r="V53" s="2" t="s">
        <v>166</v>
      </c>
      <c r="W53">
        <v>40000</v>
      </c>
      <c r="X53">
        <v>1</v>
      </c>
      <c r="Y53">
        <v>40000</v>
      </c>
      <c r="Z53">
        <v>60000</v>
      </c>
      <c r="AA53">
        <v>13</v>
      </c>
    </row>
    <row r="54" spans="1:27" x14ac:dyDescent="0.25">
      <c r="A54" s="2" t="s">
        <v>435</v>
      </c>
      <c r="B54" s="2" t="s">
        <v>78</v>
      </c>
      <c r="C54" s="2" t="s">
        <v>166</v>
      </c>
      <c r="D54" s="2" t="s">
        <v>436</v>
      </c>
      <c r="E54" s="2" t="s">
        <v>79</v>
      </c>
      <c r="F54">
        <v>102122</v>
      </c>
      <c r="G54" s="1">
        <v>45637</v>
      </c>
      <c r="H54" s="1">
        <v>45757</v>
      </c>
      <c r="I54">
        <v>120</v>
      </c>
      <c r="J54" s="2" t="s">
        <v>83</v>
      </c>
      <c r="K54" s="2" t="s">
        <v>376</v>
      </c>
      <c r="L54" s="2" t="s">
        <v>85</v>
      </c>
      <c r="M54">
        <v>1</v>
      </c>
      <c r="N54" s="1">
        <v>45868</v>
      </c>
      <c r="O54" s="2" t="s">
        <v>82</v>
      </c>
      <c r="P54">
        <v>6520</v>
      </c>
      <c r="Q54" s="2" t="s">
        <v>88</v>
      </c>
      <c r="S54" s="2" t="s">
        <v>166</v>
      </c>
      <c r="U54" s="2" t="s">
        <v>166</v>
      </c>
      <c r="V54" s="2" t="s">
        <v>166</v>
      </c>
      <c r="W54">
        <v>20000</v>
      </c>
      <c r="X54">
        <v>1</v>
      </c>
      <c r="Y54">
        <v>20000</v>
      </c>
      <c r="Z54">
        <v>60000</v>
      </c>
      <c r="AA54">
        <v>13</v>
      </c>
    </row>
    <row r="55" spans="1:27" x14ac:dyDescent="0.25">
      <c r="A55" s="2" t="s">
        <v>438</v>
      </c>
      <c r="B55" s="2" t="s">
        <v>78</v>
      </c>
      <c r="C55" s="2" t="s">
        <v>166</v>
      </c>
      <c r="D55" s="2" t="s">
        <v>439</v>
      </c>
      <c r="E55" s="2" t="s">
        <v>79</v>
      </c>
      <c r="F55">
        <v>102122</v>
      </c>
      <c r="G55" s="1">
        <v>45594</v>
      </c>
      <c r="H55" s="1">
        <v>45691</v>
      </c>
      <c r="I55">
        <v>97</v>
      </c>
      <c r="J55" s="2" t="s">
        <v>87</v>
      </c>
      <c r="K55" s="2" t="s">
        <v>440</v>
      </c>
      <c r="L55" s="2" t="s">
        <v>85</v>
      </c>
      <c r="M55">
        <v>1</v>
      </c>
      <c r="N55" s="1">
        <v>45689</v>
      </c>
      <c r="O55" s="2" t="s">
        <v>82</v>
      </c>
      <c r="P55">
        <v>6530</v>
      </c>
      <c r="Q55" s="2" t="s">
        <v>95</v>
      </c>
      <c r="S55" s="2" t="s">
        <v>166</v>
      </c>
      <c r="U55" s="2" t="s">
        <v>166</v>
      </c>
      <c r="V55" s="2" t="s">
        <v>166</v>
      </c>
      <c r="W55">
        <v>78750</v>
      </c>
      <c r="X55">
        <v>1</v>
      </c>
      <c r="Y55">
        <v>78750</v>
      </c>
      <c r="Z55">
        <v>157500</v>
      </c>
      <c r="AA55">
        <v>9</v>
      </c>
    </row>
    <row r="56" spans="1:27" x14ac:dyDescent="0.25">
      <c r="A56" s="2" t="s">
        <v>438</v>
      </c>
      <c r="B56" s="2" t="s">
        <v>78</v>
      </c>
      <c r="C56" s="2" t="s">
        <v>166</v>
      </c>
      <c r="D56" s="2" t="s">
        <v>439</v>
      </c>
      <c r="E56" s="2" t="s">
        <v>79</v>
      </c>
      <c r="F56">
        <v>102122</v>
      </c>
      <c r="G56" s="1">
        <v>45594</v>
      </c>
      <c r="H56" s="1">
        <v>45691</v>
      </c>
      <c r="I56">
        <v>97</v>
      </c>
      <c r="J56" s="2" t="s">
        <v>144</v>
      </c>
      <c r="K56" s="2" t="s">
        <v>441</v>
      </c>
      <c r="L56" s="2" t="s">
        <v>85</v>
      </c>
      <c r="M56">
        <v>1</v>
      </c>
      <c r="N56" s="1">
        <v>45689</v>
      </c>
      <c r="O56" s="2" t="s">
        <v>82</v>
      </c>
      <c r="P56">
        <v>6530</v>
      </c>
      <c r="Q56" s="2" t="s">
        <v>95</v>
      </c>
      <c r="S56" s="2" t="s">
        <v>166</v>
      </c>
      <c r="U56" s="2" t="s">
        <v>166</v>
      </c>
      <c r="V56" s="2" t="s">
        <v>166</v>
      </c>
      <c r="W56">
        <v>78750</v>
      </c>
      <c r="X56">
        <v>1</v>
      </c>
      <c r="Y56">
        <v>78750</v>
      </c>
      <c r="Z56">
        <v>157500</v>
      </c>
      <c r="AA56">
        <v>9</v>
      </c>
    </row>
    <row r="57" spans="1:27" x14ac:dyDescent="0.25">
      <c r="A57" s="2" t="s">
        <v>442</v>
      </c>
      <c r="B57" s="2" t="s">
        <v>78</v>
      </c>
      <c r="C57" s="2" t="s">
        <v>166</v>
      </c>
      <c r="D57" s="2" t="s">
        <v>443</v>
      </c>
      <c r="E57" s="2" t="s">
        <v>79</v>
      </c>
      <c r="F57">
        <v>102122</v>
      </c>
      <c r="G57" s="1">
        <v>45810</v>
      </c>
      <c r="H57" s="1">
        <v>45930</v>
      </c>
      <c r="I57">
        <v>120</v>
      </c>
      <c r="J57" s="2" t="s">
        <v>136</v>
      </c>
      <c r="K57" s="2" t="s">
        <v>444</v>
      </c>
      <c r="L57" s="2" t="s">
        <v>81</v>
      </c>
      <c r="M57">
        <v>1</v>
      </c>
      <c r="N57" s="1">
        <v>45930</v>
      </c>
      <c r="O57" s="2" t="s">
        <v>82</v>
      </c>
      <c r="P57">
        <v>6550</v>
      </c>
      <c r="Q57" s="2" t="s">
        <v>105</v>
      </c>
      <c r="S57" s="2" t="s">
        <v>166</v>
      </c>
      <c r="U57" s="2" t="s">
        <v>166</v>
      </c>
      <c r="V57" s="2" t="s">
        <v>166</v>
      </c>
      <c r="W57">
        <v>60500</v>
      </c>
      <c r="X57">
        <v>1</v>
      </c>
      <c r="Y57">
        <v>60500</v>
      </c>
      <c r="Z57">
        <v>60500</v>
      </c>
      <c r="AA57">
        <v>8</v>
      </c>
    </row>
    <row r="58" spans="1:27" x14ac:dyDescent="0.25">
      <c r="A58" s="2" t="s">
        <v>97</v>
      </c>
      <c r="B58" s="2" t="s">
        <v>78</v>
      </c>
      <c r="C58" s="2" t="s">
        <v>166</v>
      </c>
      <c r="D58" s="2" t="s">
        <v>445</v>
      </c>
      <c r="E58" s="2" t="s">
        <v>79</v>
      </c>
      <c r="F58">
        <v>102122</v>
      </c>
      <c r="G58" s="1">
        <v>45713</v>
      </c>
      <c r="H58" s="1">
        <v>45833</v>
      </c>
      <c r="I58">
        <v>120</v>
      </c>
      <c r="J58" s="2" t="s">
        <v>119</v>
      </c>
      <c r="K58" s="2" t="s">
        <v>446</v>
      </c>
      <c r="L58" s="2" t="s">
        <v>85</v>
      </c>
      <c r="M58">
        <v>1</v>
      </c>
      <c r="N58" s="1">
        <v>45833</v>
      </c>
      <c r="O58" s="2" t="s">
        <v>82</v>
      </c>
      <c r="P58">
        <v>8530</v>
      </c>
      <c r="Q58" s="2" t="s">
        <v>447</v>
      </c>
      <c r="S58" s="2" t="s">
        <v>166</v>
      </c>
      <c r="U58" s="2" t="s">
        <v>166</v>
      </c>
      <c r="V58" s="2" t="s">
        <v>166</v>
      </c>
      <c r="W58">
        <v>5000</v>
      </c>
      <c r="X58">
        <v>1</v>
      </c>
      <c r="Y58">
        <v>5000</v>
      </c>
      <c r="Z58">
        <v>28000</v>
      </c>
      <c r="AA58">
        <v>4</v>
      </c>
    </row>
    <row r="59" spans="1:27" x14ac:dyDescent="0.25">
      <c r="A59" s="2" t="s">
        <v>97</v>
      </c>
      <c r="B59" s="2" t="s">
        <v>78</v>
      </c>
      <c r="C59" s="2" t="s">
        <v>166</v>
      </c>
      <c r="D59" s="2" t="s">
        <v>445</v>
      </c>
      <c r="E59" s="2" t="s">
        <v>79</v>
      </c>
      <c r="F59">
        <v>102122</v>
      </c>
      <c r="G59" s="1">
        <v>45713</v>
      </c>
      <c r="H59" s="1">
        <v>45833</v>
      </c>
      <c r="I59">
        <v>120</v>
      </c>
      <c r="J59" s="2" t="s">
        <v>119</v>
      </c>
      <c r="K59" s="2" t="s">
        <v>446</v>
      </c>
      <c r="L59" s="2" t="s">
        <v>85</v>
      </c>
      <c r="M59">
        <v>2</v>
      </c>
      <c r="N59" s="1">
        <v>45833</v>
      </c>
      <c r="O59" s="2" t="s">
        <v>82</v>
      </c>
      <c r="P59">
        <v>7240</v>
      </c>
      <c r="Q59" s="2" t="s">
        <v>448</v>
      </c>
      <c r="S59" s="2" t="s">
        <v>166</v>
      </c>
      <c r="U59" s="2" t="s">
        <v>166</v>
      </c>
      <c r="V59" s="2" t="s">
        <v>166</v>
      </c>
      <c r="W59">
        <v>3000</v>
      </c>
      <c r="X59">
        <v>1</v>
      </c>
      <c r="Y59">
        <v>3000</v>
      </c>
      <c r="Z59">
        <v>28000</v>
      </c>
      <c r="AA59">
        <v>4</v>
      </c>
    </row>
    <row r="60" spans="1:27" x14ac:dyDescent="0.25">
      <c r="A60" s="2" t="s">
        <v>97</v>
      </c>
      <c r="B60" s="2" t="s">
        <v>78</v>
      </c>
      <c r="C60" s="2" t="s">
        <v>166</v>
      </c>
      <c r="D60" s="2" t="s">
        <v>445</v>
      </c>
      <c r="E60" s="2" t="s">
        <v>79</v>
      </c>
      <c r="F60">
        <v>102122</v>
      </c>
      <c r="G60" s="1">
        <v>45713</v>
      </c>
      <c r="H60" s="1">
        <v>45833</v>
      </c>
      <c r="I60">
        <v>120</v>
      </c>
      <c r="J60" s="2" t="s">
        <v>119</v>
      </c>
      <c r="K60" s="2" t="s">
        <v>446</v>
      </c>
      <c r="L60" s="2" t="s">
        <v>85</v>
      </c>
      <c r="M60">
        <v>3</v>
      </c>
      <c r="N60" s="1">
        <v>45833</v>
      </c>
      <c r="O60" s="2" t="s">
        <v>82</v>
      </c>
      <c r="P60">
        <v>8530</v>
      </c>
      <c r="Q60" s="2" t="s">
        <v>447</v>
      </c>
      <c r="S60" s="2" t="s">
        <v>166</v>
      </c>
      <c r="U60" s="2" t="s">
        <v>166</v>
      </c>
      <c r="V60" s="2" t="s">
        <v>166</v>
      </c>
      <c r="W60">
        <v>10000</v>
      </c>
      <c r="X60">
        <v>1</v>
      </c>
      <c r="Y60">
        <v>10000</v>
      </c>
      <c r="Z60">
        <v>28000</v>
      </c>
      <c r="AA60">
        <v>4</v>
      </c>
    </row>
    <row r="61" spans="1:27" x14ac:dyDescent="0.25">
      <c r="A61" s="2" t="s">
        <v>97</v>
      </c>
      <c r="B61" s="2" t="s">
        <v>78</v>
      </c>
      <c r="C61" s="2" t="s">
        <v>166</v>
      </c>
      <c r="D61" s="2" t="s">
        <v>445</v>
      </c>
      <c r="E61" s="2" t="s">
        <v>79</v>
      </c>
      <c r="F61">
        <v>102122</v>
      </c>
      <c r="G61" s="1">
        <v>45713</v>
      </c>
      <c r="H61" s="1">
        <v>45833</v>
      </c>
      <c r="I61">
        <v>120</v>
      </c>
      <c r="J61" s="2" t="s">
        <v>119</v>
      </c>
      <c r="K61" s="2" t="s">
        <v>446</v>
      </c>
      <c r="L61" s="2" t="s">
        <v>85</v>
      </c>
      <c r="M61">
        <v>4</v>
      </c>
      <c r="N61" s="1">
        <v>45833</v>
      </c>
      <c r="O61" s="2" t="s">
        <v>82</v>
      </c>
      <c r="P61">
        <v>8520</v>
      </c>
      <c r="Q61" s="2" t="s">
        <v>160</v>
      </c>
      <c r="S61" s="2" t="s">
        <v>166</v>
      </c>
      <c r="U61" s="2" t="s">
        <v>166</v>
      </c>
      <c r="V61" s="2" t="s">
        <v>166</v>
      </c>
      <c r="W61">
        <v>10000</v>
      </c>
      <c r="X61">
        <v>1</v>
      </c>
      <c r="Y61">
        <v>10000</v>
      </c>
      <c r="Z61">
        <v>28000</v>
      </c>
      <c r="AA61">
        <v>4</v>
      </c>
    </row>
    <row r="62" spans="1:27" x14ac:dyDescent="0.25">
      <c r="A62" s="2" t="s">
        <v>153</v>
      </c>
      <c r="B62" s="2" t="s">
        <v>78</v>
      </c>
      <c r="C62" s="2" t="s">
        <v>166</v>
      </c>
      <c r="D62" s="2" t="s">
        <v>449</v>
      </c>
      <c r="E62" s="2" t="s">
        <v>79</v>
      </c>
      <c r="F62">
        <v>102122</v>
      </c>
      <c r="G62" s="1">
        <v>45617</v>
      </c>
      <c r="H62" s="1">
        <v>45677</v>
      </c>
      <c r="I62">
        <v>60</v>
      </c>
      <c r="J62" s="2" t="s">
        <v>110</v>
      </c>
      <c r="K62" s="2" t="s">
        <v>450</v>
      </c>
      <c r="L62" s="2" t="s">
        <v>85</v>
      </c>
      <c r="M62">
        <v>1</v>
      </c>
      <c r="N62" s="1">
        <v>45746</v>
      </c>
      <c r="O62" s="2" t="s">
        <v>82</v>
      </c>
      <c r="P62">
        <v>6830</v>
      </c>
      <c r="Q62" s="2" t="s">
        <v>108</v>
      </c>
      <c r="S62" s="2" t="s">
        <v>166</v>
      </c>
      <c r="U62" s="2" t="s">
        <v>166</v>
      </c>
      <c r="V62" s="2" t="s">
        <v>166</v>
      </c>
      <c r="W62">
        <v>100000</v>
      </c>
      <c r="X62">
        <v>1</v>
      </c>
      <c r="Y62">
        <v>100000</v>
      </c>
      <c r="Z62">
        <v>100000</v>
      </c>
      <c r="AA62">
        <v>79</v>
      </c>
    </row>
    <row r="63" spans="1:27" x14ac:dyDescent="0.25">
      <c r="A63" s="2" t="s">
        <v>451</v>
      </c>
      <c r="B63" s="2" t="s">
        <v>78</v>
      </c>
      <c r="C63" s="2" t="s">
        <v>166</v>
      </c>
      <c r="D63" s="2" t="s">
        <v>452</v>
      </c>
      <c r="E63" s="2" t="s">
        <v>152</v>
      </c>
      <c r="F63">
        <v>102122</v>
      </c>
      <c r="G63" s="1">
        <v>45708</v>
      </c>
      <c r="H63" s="1">
        <v>45828</v>
      </c>
      <c r="I63">
        <v>120</v>
      </c>
      <c r="J63" s="2" t="s">
        <v>155</v>
      </c>
      <c r="K63" s="2" t="s">
        <v>361</v>
      </c>
      <c r="L63" s="2" t="s">
        <v>85</v>
      </c>
      <c r="M63">
        <v>1</v>
      </c>
      <c r="N63" s="1">
        <v>45828</v>
      </c>
      <c r="O63" s="2" t="s">
        <v>82</v>
      </c>
      <c r="P63">
        <v>7010</v>
      </c>
      <c r="Q63" s="2" t="s">
        <v>154</v>
      </c>
      <c r="S63" s="2" t="s">
        <v>166</v>
      </c>
      <c r="U63" s="2" t="s">
        <v>166</v>
      </c>
      <c r="V63" s="2" t="s">
        <v>166</v>
      </c>
      <c r="W63">
        <v>350000</v>
      </c>
      <c r="X63">
        <v>1</v>
      </c>
      <c r="Y63">
        <v>350000</v>
      </c>
      <c r="Z63">
        <v>365000</v>
      </c>
      <c r="AA63">
        <v>76</v>
      </c>
    </row>
    <row r="64" spans="1:27" x14ac:dyDescent="0.25">
      <c r="A64" s="2" t="s">
        <v>451</v>
      </c>
      <c r="B64" s="2" t="s">
        <v>78</v>
      </c>
      <c r="C64" s="2" t="s">
        <v>166</v>
      </c>
      <c r="D64" s="2" t="s">
        <v>452</v>
      </c>
      <c r="E64" s="2" t="s">
        <v>152</v>
      </c>
      <c r="F64">
        <v>102122</v>
      </c>
      <c r="G64" s="1">
        <v>45708</v>
      </c>
      <c r="H64" s="1">
        <v>45828</v>
      </c>
      <c r="I64">
        <v>120</v>
      </c>
      <c r="J64" s="2" t="s">
        <v>102</v>
      </c>
      <c r="K64" s="2" t="s">
        <v>381</v>
      </c>
      <c r="L64" s="2" t="s">
        <v>85</v>
      </c>
      <c r="M64">
        <v>1</v>
      </c>
      <c r="N64" s="1">
        <v>45717</v>
      </c>
      <c r="O64" s="2" t="s">
        <v>82</v>
      </c>
      <c r="P64">
        <v>7010</v>
      </c>
      <c r="Q64" s="2" t="s">
        <v>154</v>
      </c>
      <c r="S64" s="2" t="s">
        <v>166</v>
      </c>
      <c r="U64" s="2" t="s">
        <v>166</v>
      </c>
      <c r="V64" s="2" t="s">
        <v>166</v>
      </c>
      <c r="W64">
        <v>10000</v>
      </c>
      <c r="X64">
        <v>1</v>
      </c>
      <c r="Y64">
        <v>10000</v>
      </c>
      <c r="Z64">
        <v>365000</v>
      </c>
      <c r="AA64">
        <v>76</v>
      </c>
    </row>
    <row r="65" spans="1:27" x14ac:dyDescent="0.25">
      <c r="A65" s="2" t="s">
        <v>451</v>
      </c>
      <c r="B65" s="2" t="s">
        <v>78</v>
      </c>
      <c r="C65" s="2" t="s">
        <v>166</v>
      </c>
      <c r="D65" s="2" t="s">
        <v>452</v>
      </c>
      <c r="E65" s="2" t="s">
        <v>152</v>
      </c>
      <c r="F65">
        <v>102122</v>
      </c>
      <c r="G65" s="1">
        <v>45708</v>
      </c>
      <c r="H65" s="1">
        <v>45828</v>
      </c>
      <c r="I65">
        <v>120</v>
      </c>
      <c r="J65" s="2" t="s">
        <v>128</v>
      </c>
      <c r="K65" s="2" t="s">
        <v>453</v>
      </c>
      <c r="L65" s="2" t="s">
        <v>85</v>
      </c>
      <c r="M65">
        <v>1</v>
      </c>
      <c r="N65" s="1">
        <v>45839</v>
      </c>
      <c r="O65" s="2" t="s">
        <v>82</v>
      </c>
      <c r="P65">
        <v>7010</v>
      </c>
      <c r="Q65" s="2" t="s">
        <v>154</v>
      </c>
      <c r="S65" s="2" t="s">
        <v>166</v>
      </c>
      <c r="U65" s="2" t="s">
        <v>166</v>
      </c>
      <c r="V65" s="2" t="s">
        <v>166</v>
      </c>
      <c r="W65">
        <v>5000</v>
      </c>
      <c r="X65">
        <v>1</v>
      </c>
      <c r="Y65">
        <v>5000</v>
      </c>
      <c r="Z65">
        <v>365000</v>
      </c>
      <c r="AA65">
        <v>76</v>
      </c>
    </row>
    <row r="66" spans="1:27" x14ac:dyDescent="0.25">
      <c r="A66" s="2" t="s">
        <v>454</v>
      </c>
      <c r="B66" s="2" t="s">
        <v>78</v>
      </c>
      <c r="C66" s="2" t="s">
        <v>166</v>
      </c>
      <c r="D66" s="2" t="s">
        <v>455</v>
      </c>
      <c r="E66" s="2" t="s">
        <v>79</v>
      </c>
      <c r="F66">
        <v>102122</v>
      </c>
      <c r="G66" s="1">
        <v>45610</v>
      </c>
      <c r="H66" s="1">
        <v>45701</v>
      </c>
      <c r="I66">
        <v>91</v>
      </c>
      <c r="J66" s="2" t="s">
        <v>110</v>
      </c>
      <c r="K66" s="2" t="s">
        <v>456</v>
      </c>
      <c r="L66" s="2" t="s">
        <v>92</v>
      </c>
      <c r="M66">
        <v>1</v>
      </c>
      <c r="N66" s="1">
        <v>45777</v>
      </c>
      <c r="O66" s="2" t="s">
        <v>82</v>
      </c>
      <c r="P66">
        <v>7230</v>
      </c>
      <c r="Q66" s="2" t="s">
        <v>457</v>
      </c>
      <c r="S66" s="2" t="s">
        <v>166</v>
      </c>
      <c r="U66" s="2" t="s">
        <v>166</v>
      </c>
      <c r="V66" s="2" t="s">
        <v>166</v>
      </c>
      <c r="W66">
        <v>20000</v>
      </c>
      <c r="X66">
        <v>1</v>
      </c>
      <c r="Y66">
        <v>20000</v>
      </c>
      <c r="Z66">
        <v>20000</v>
      </c>
      <c r="AA66">
        <v>70</v>
      </c>
    </row>
    <row r="67" spans="1:27" x14ac:dyDescent="0.25">
      <c r="A67" s="2" t="s">
        <v>122</v>
      </c>
      <c r="B67" s="2" t="s">
        <v>78</v>
      </c>
      <c r="C67" s="2" t="s">
        <v>166</v>
      </c>
      <c r="D67" s="2" t="s">
        <v>458</v>
      </c>
      <c r="E67" s="2" t="s">
        <v>79</v>
      </c>
      <c r="F67">
        <v>102122</v>
      </c>
      <c r="G67" s="1">
        <v>45901</v>
      </c>
      <c r="H67" s="1">
        <v>46021</v>
      </c>
      <c r="I67">
        <v>120</v>
      </c>
      <c r="J67" s="2" t="s">
        <v>83</v>
      </c>
      <c r="K67" s="2" t="s">
        <v>424</v>
      </c>
      <c r="L67" s="2" t="s">
        <v>85</v>
      </c>
      <c r="M67">
        <v>1</v>
      </c>
      <c r="N67" s="1">
        <v>45868</v>
      </c>
      <c r="O67" s="2" t="s">
        <v>82</v>
      </c>
      <c r="P67">
        <v>7195</v>
      </c>
      <c r="Q67" s="2" t="s">
        <v>126</v>
      </c>
      <c r="S67" s="2" t="s">
        <v>166</v>
      </c>
      <c r="U67" s="2" t="s">
        <v>166</v>
      </c>
      <c r="V67" s="2" t="s">
        <v>166</v>
      </c>
      <c r="W67">
        <v>30000</v>
      </c>
      <c r="X67">
        <v>1</v>
      </c>
      <c r="Y67">
        <v>30000</v>
      </c>
      <c r="Z67">
        <v>30000</v>
      </c>
      <c r="AA67">
        <v>71</v>
      </c>
    </row>
    <row r="68" spans="1:27" x14ac:dyDescent="0.25">
      <c r="A68" s="2" t="s">
        <v>459</v>
      </c>
      <c r="B68" s="2" t="s">
        <v>78</v>
      </c>
      <c r="C68" s="2" t="s">
        <v>166</v>
      </c>
      <c r="D68" s="2" t="s">
        <v>115</v>
      </c>
      <c r="E68" s="2" t="s">
        <v>79</v>
      </c>
      <c r="F68">
        <v>102122</v>
      </c>
      <c r="G68" s="1">
        <v>45537</v>
      </c>
      <c r="H68" s="1">
        <v>45687</v>
      </c>
      <c r="I68">
        <v>150</v>
      </c>
      <c r="J68" s="2" t="s">
        <v>115</v>
      </c>
      <c r="K68" s="2" t="s">
        <v>460</v>
      </c>
      <c r="L68" s="2" t="s">
        <v>85</v>
      </c>
      <c r="M68">
        <v>1</v>
      </c>
      <c r="N68" s="1">
        <v>45716</v>
      </c>
      <c r="O68" s="2" t="s">
        <v>82</v>
      </c>
      <c r="P68">
        <v>7110</v>
      </c>
      <c r="Q68" s="2" t="s">
        <v>118</v>
      </c>
      <c r="S68" s="2" t="s">
        <v>166</v>
      </c>
      <c r="U68" s="2" t="s">
        <v>166</v>
      </c>
      <c r="V68" s="2" t="s">
        <v>166</v>
      </c>
      <c r="W68">
        <v>242000</v>
      </c>
      <c r="X68">
        <v>1</v>
      </c>
      <c r="Y68">
        <v>242000</v>
      </c>
      <c r="Z68">
        <v>242000</v>
      </c>
      <c r="AA68">
        <v>72</v>
      </c>
    </row>
    <row r="69" spans="1:27" x14ac:dyDescent="0.25">
      <c r="A69" s="2" t="s">
        <v>461</v>
      </c>
      <c r="B69" s="2" t="s">
        <v>78</v>
      </c>
      <c r="C69" s="2" t="s">
        <v>166</v>
      </c>
      <c r="D69" s="2" t="s">
        <v>462</v>
      </c>
      <c r="E69" s="2" t="s">
        <v>79</v>
      </c>
      <c r="F69">
        <v>102122</v>
      </c>
      <c r="G69" s="1">
        <v>45637</v>
      </c>
      <c r="H69" s="1">
        <v>45777</v>
      </c>
      <c r="I69">
        <v>140</v>
      </c>
      <c r="J69" s="2" t="s">
        <v>125</v>
      </c>
      <c r="K69" s="2" t="s">
        <v>463</v>
      </c>
      <c r="L69" s="2" t="s">
        <v>85</v>
      </c>
      <c r="M69">
        <v>1</v>
      </c>
      <c r="N69" s="1">
        <v>45777</v>
      </c>
      <c r="O69" s="2" t="s">
        <v>82</v>
      </c>
      <c r="P69">
        <v>7110</v>
      </c>
      <c r="Q69" s="2" t="s">
        <v>118</v>
      </c>
      <c r="S69" s="2" t="s">
        <v>166</v>
      </c>
      <c r="U69" s="2" t="s">
        <v>166</v>
      </c>
      <c r="V69" s="2" t="s">
        <v>166</v>
      </c>
      <c r="W69">
        <v>50000</v>
      </c>
      <c r="X69">
        <v>1</v>
      </c>
      <c r="Y69">
        <v>50000</v>
      </c>
      <c r="Z69">
        <v>230000</v>
      </c>
      <c r="AA69">
        <v>73</v>
      </c>
    </row>
    <row r="70" spans="1:27" x14ac:dyDescent="0.25">
      <c r="A70" s="2" t="s">
        <v>461</v>
      </c>
      <c r="B70" s="2" t="s">
        <v>78</v>
      </c>
      <c r="C70" s="2" t="s">
        <v>166</v>
      </c>
      <c r="D70" s="2" t="s">
        <v>462</v>
      </c>
      <c r="E70" s="2" t="s">
        <v>79</v>
      </c>
      <c r="F70">
        <v>102122</v>
      </c>
      <c r="G70" s="1">
        <v>45637</v>
      </c>
      <c r="H70" s="1">
        <v>45777</v>
      </c>
      <c r="I70">
        <v>140</v>
      </c>
      <c r="J70" s="2" t="s">
        <v>125</v>
      </c>
      <c r="K70" s="2" t="s">
        <v>463</v>
      </c>
      <c r="L70" s="2" t="s">
        <v>85</v>
      </c>
      <c r="M70">
        <v>2</v>
      </c>
      <c r="N70" s="1">
        <v>45777</v>
      </c>
      <c r="O70" s="2" t="s">
        <v>82</v>
      </c>
      <c r="P70">
        <v>7105</v>
      </c>
      <c r="Q70" s="2" t="s">
        <v>464</v>
      </c>
      <c r="S70" s="2" t="s">
        <v>166</v>
      </c>
      <c r="U70" s="2" t="s">
        <v>166</v>
      </c>
      <c r="V70" s="2" t="s">
        <v>166</v>
      </c>
      <c r="W70">
        <v>50000</v>
      </c>
      <c r="X70">
        <v>1</v>
      </c>
      <c r="Y70">
        <v>50000</v>
      </c>
      <c r="Z70">
        <v>230000</v>
      </c>
      <c r="AA70">
        <v>73</v>
      </c>
    </row>
    <row r="71" spans="1:27" x14ac:dyDescent="0.25">
      <c r="A71" s="2" t="s">
        <v>461</v>
      </c>
      <c r="B71" s="2" t="s">
        <v>78</v>
      </c>
      <c r="C71" s="2" t="s">
        <v>166</v>
      </c>
      <c r="D71" s="2" t="s">
        <v>462</v>
      </c>
      <c r="E71" s="2" t="s">
        <v>79</v>
      </c>
      <c r="F71">
        <v>102122</v>
      </c>
      <c r="G71" s="1">
        <v>45637</v>
      </c>
      <c r="H71" s="1">
        <v>45777</v>
      </c>
      <c r="I71">
        <v>140</v>
      </c>
      <c r="J71" s="2" t="s">
        <v>125</v>
      </c>
      <c r="K71" s="2" t="s">
        <v>463</v>
      </c>
      <c r="L71" s="2" t="s">
        <v>85</v>
      </c>
      <c r="M71">
        <v>3</v>
      </c>
      <c r="N71" s="1">
        <v>45777</v>
      </c>
      <c r="O71" s="2" t="s">
        <v>82</v>
      </c>
      <c r="P71">
        <v>7125</v>
      </c>
      <c r="Q71" s="2" t="s">
        <v>465</v>
      </c>
      <c r="S71" s="2" t="s">
        <v>166</v>
      </c>
      <c r="U71" s="2" t="s">
        <v>166</v>
      </c>
      <c r="V71" s="2" t="s">
        <v>166</v>
      </c>
      <c r="W71">
        <v>130000</v>
      </c>
      <c r="X71">
        <v>1</v>
      </c>
      <c r="Y71">
        <v>130000</v>
      </c>
      <c r="Z71">
        <v>230000</v>
      </c>
      <c r="AA71">
        <v>73</v>
      </c>
    </row>
    <row r="72" spans="1:27" x14ac:dyDescent="0.25">
      <c r="A72" s="2" t="s">
        <v>466</v>
      </c>
      <c r="B72" s="2" t="s">
        <v>78</v>
      </c>
      <c r="C72" s="2" t="s">
        <v>166</v>
      </c>
      <c r="D72" s="2" t="s">
        <v>467</v>
      </c>
      <c r="E72" s="2" t="s">
        <v>79</v>
      </c>
      <c r="F72">
        <v>102122</v>
      </c>
      <c r="G72" s="1">
        <v>45666</v>
      </c>
      <c r="H72" s="1">
        <v>45749</v>
      </c>
      <c r="I72">
        <v>83</v>
      </c>
      <c r="J72" s="2" t="s">
        <v>113</v>
      </c>
      <c r="K72" s="2" t="s">
        <v>468</v>
      </c>
      <c r="L72" s="2" t="s">
        <v>85</v>
      </c>
      <c r="M72">
        <v>1</v>
      </c>
      <c r="N72" s="1">
        <v>45960</v>
      </c>
      <c r="O72" s="2" t="s">
        <v>82</v>
      </c>
      <c r="P72">
        <v>7610</v>
      </c>
      <c r="Q72" s="2" t="s">
        <v>469</v>
      </c>
      <c r="S72" s="2" t="s">
        <v>166</v>
      </c>
      <c r="U72" s="2" t="s">
        <v>166</v>
      </c>
      <c r="V72" s="2" t="s">
        <v>166</v>
      </c>
      <c r="W72">
        <v>15000</v>
      </c>
      <c r="X72">
        <v>1</v>
      </c>
      <c r="Y72">
        <v>15000</v>
      </c>
      <c r="Z72">
        <v>15000</v>
      </c>
      <c r="AA72">
        <v>88</v>
      </c>
    </row>
    <row r="73" spans="1:27" x14ac:dyDescent="0.25">
      <c r="A73" s="2" t="s">
        <v>121</v>
      </c>
      <c r="B73" s="2" t="s">
        <v>78</v>
      </c>
      <c r="C73" s="2" t="s">
        <v>166</v>
      </c>
      <c r="D73" s="2" t="s">
        <v>470</v>
      </c>
      <c r="E73" s="2" t="s">
        <v>152</v>
      </c>
      <c r="F73">
        <v>102122</v>
      </c>
      <c r="G73" s="1">
        <v>45572</v>
      </c>
      <c r="H73" s="1">
        <v>45663</v>
      </c>
      <c r="I73">
        <v>91</v>
      </c>
      <c r="J73" s="2" t="s">
        <v>113</v>
      </c>
      <c r="K73" s="2" t="s">
        <v>471</v>
      </c>
      <c r="L73" s="2" t="s">
        <v>85</v>
      </c>
      <c r="M73">
        <v>1</v>
      </c>
      <c r="N73" s="1">
        <v>45797</v>
      </c>
      <c r="O73" s="2" t="s">
        <v>111</v>
      </c>
      <c r="P73">
        <v>182</v>
      </c>
      <c r="Q73" s="2" t="s">
        <v>148</v>
      </c>
      <c r="S73" s="2" t="s">
        <v>166</v>
      </c>
      <c r="U73" s="2" t="s">
        <v>166</v>
      </c>
      <c r="V73" s="2" t="s">
        <v>166</v>
      </c>
      <c r="W73">
        <v>10000</v>
      </c>
      <c r="X73">
        <v>1</v>
      </c>
      <c r="Y73">
        <v>10000</v>
      </c>
      <c r="Z73">
        <v>10000</v>
      </c>
      <c r="AA73">
        <v>65</v>
      </c>
    </row>
    <row r="74" spans="1:27" x14ac:dyDescent="0.25">
      <c r="A74" s="2" t="s">
        <v>147</v>
      </c>
      <c r="B74" s="2" t="s">
        <v>78</v>
      </c>
      <c r="C74" s="2" t="s">
        <v>166</v>
      </c>
      <c r="D74" s="2" t="s">
        <v>472</v>
      </c>
      <c r="E74" s="2" t="s">
        <v>79</v>
      </c>
      <c r="F74">
        <v>102122</v>
      </c>
      <c r="G74" s="1">
        <v>45631</v>
      </c>
      <c r="H74" s="1">
        <v>45691</v>
      </c>
      <c r="I74">
        <v>60</v>
      </c>
      <c r="J74" s="2" t="s">
        <v>117</v>
      </c>
      <c r="K74" s="2" t="s">
        <v>473</v>
      </c>
      <c r="L74" s="2" t="s">
        <v>85</v>
      </c>
      <c r="M74">
        <v>1</v>
      </c>
      <c r="N74" s="1">
        <v>45698</v>
      </c>
      <c r="O74" s="2" t="s">
        <v>82</v>
      </c>
      <c r="P74">
        <v>8960</v>
      </c>
      <c r="Q74" s="2" t="s">
        <v>474</v>
      </c>
      <c r="S74" s="2" t="s">
        <v>166</v>
      </c>
      <c r="U74" s="2" t="s">
        <v>166</v>
      </c>
      <c r="V74" s="2" t="s">
        <v>166</v>
      </c>
      <c r="W74">
        <v>10000</v>
      </c>
      <c r="X74">
        <v>1</v>
      </c>
      <c r="Y74">
        <v>10000</v>
      </c>
      <c r="Z74">
        <v>12000</v>
      </c>
      <c r="AA74">
        <v>67</v>
      </c>
    </row>
    <row r="75" spans="1:27" x14ac:dyDescent="0.25">
      <c r="A75" s="2" t="s">
        <v>147</v>
      </c>
      <c r="B75" s="2" t="s">
        <v>78</v>
      </c>
      <c r="C75" s="2" t="s">
        <v>166</v>
      </c>
      <c r="D75" s="2" t="s">
        <v>472</v>
      </c>
      <c r="E75" s="2" t="s">
        <v>79</v>
      </c>
      <c r="F75">
        <v>102122</v>
      </c>
      <c r="G75" s="1">
        <v>45631</v>
      </c>
      <c r="H75" s="1">
        <v>45691</v>
      </c>
      <c r="I75">
        <v>60</v>
      </c>
      <c r="J75" s="2" t="s">
        <v>117</v>
      </c>
      <c r="K75" s="2" t="s">
        <v>473</v>
      </c>
      <c r="L75" s="2" t="s">
        <v>85</v>
      </c>
      <c r="M75">
        <v>2</v>
      </c>
      <c r="N75" s="1">
        <v>45698</v>
      </c>
      <c r="O75" s="2" t="s">
        <v>82</v>
      </c>
      <c r="P75">
        <v>8920</v>
      </c>
      <c r="Q75" s="2" t="s">
        <v>475</v>
      </c>
      <c r="S75" s="2" t="s">
        <v>166</v>
      </c>
      <c r="U75" s="2" t="s">
        <v>166</v>
      </c>
      <c r="V75" s="2" t="s">
        <v>166</v>
      </c>
      <c r="W75">
        <v>2000</v>
      </c>
      <c r="X75">
        <v>1</v>
      </c>
      <c r="Y75">
        <v>2000</v>
      </c>
      <c r="Z75">
        <v>12000</v>
      </c>
      <c r="AA75">
        <v>67</v>
      </c>
    </row>
    <row r="76" spans="1:27" x14ac:dyDescent="0.25">
      <c r="A76" s="2" t="s">
        <v>476</v>
      </c>
      <c r="B76" s="2" t="s">
        <v>78</v>
      </c>
      <c r="C76" s="2" t="s">
        <v>166</v>
      </c>
      <c r="D76" s="2" t="s">
        <v>477</v>
      </c>
      <c r="E76" s="2" t="s">
        <v>79</v>
      </c>
      <c r="F76">
        <v>102122</v>
      </c>
      <c r="G76" s="1">
        <v>45707</v>
      </c>
      <c r="H76" s="1">
        <v>45797</v>
      </c>
      <c r="I76">
        <v>90</v>
      </c>
      <c r="J76" s="2" t="s">
        <v>103</v>
      </c>
      <c r="K76" s="2" t="s">
        <v>420</v>
      </c>
      <c r="L76" s="2" t="s">
        <v>85</v>
      </c>
      <c r="M76">
        <v>2</v>
      </c>
      <c r="N76" s="1">
        <v>45809</v>
      </c>
      <c r="O76" s="2" t="s">
        <v>82</v>
      </c>
      <c r="P76">
        <v>9330</v>
      </c>
      <c r="Q76" s="2" t="s">
        <v>410</v>
      </c>
      <c r="S76" s="2" t="s">
        <v>166</v>
      </c>
      <c r="U76" s="2" t="s">
        <v>166</v>
      </c>
      <c r="V76" s="2" t="s">
        <v>166</v>
      </c>
      <c r="W76">
        <v>10000</v>
      </c>
      <c r="X76">
        <v>1</v>
      </c>
      <c r="Y76">
        <v>10000</v>
      </c>
      <c r="Z76">
        <v>10000</v>
      </c>
      <c r="AA76">
        <v>66</v>
      </c>
    </row>
    <row r="77" spans="1:27" x14ac:dyDescent="0.25">
      <c r="A77" s="2" t="s">
        <v>478</v>
      </c>
      <c r="B77" s="2" t="s">
        <v>78</v>
      </c>
      <c r="C77" s="2" t="s">
        <v>166</v>
      </c>
      <c r="D77" s="2" t="s">
        <v>479</v>
      </c>
      <c r="E77" s="2" t="s">
        <v>79</v>
      </c>
      <c r="F77">
        <v>102122</v>
      </c>
      <c r="G77" s="1">
        <v>45881</v>
      </c>
      <c r="H77" s="1">
        <v>45971</v>
      </c>
      <c r="I77">
        <v>90</v>
      </c>
      <c r="J77" s="2" t="s">
        <v>113</v>
      </c>
      <c r="K77" s="2" t="s">
        <v>480</v>
      </c>
      <c r="L77" s="2" t="s">
        <v>92</v>
      </c>
      <c r="M77">
        <v>1</v>
      </c>
      <c r="N77" s="1">
        <v>46022</v>
      </c>
      <c r="O77" s="2" t="s">
        <v>82</v>
      </c>
      <c r="P77">
        <v>7730</v>
      </c>
      <c r="Q77" s="2" t="s">
        <v>481</v>
      </c>
      <c r="S77" s="2" t="s">
        <v>166</v>
      </c>
      <c r="U77" s="2" t="s">
        <v>166</v>
      </c>
      <c r="V77" s="2" t="s">
        <v>166</v>
      </c>
      <c r="W77">
        <v>15000</v>
      </c>
      <c r="X77">
        <v>1</v>
      </c>
      <c r="Y77">
        <v>15000</v>
      </c>
      <c r="Z77">
        <v>15000</v>
      </c>
      <c r="AA77">
        <v>87</v>
      </c>
    </row>
    <row r="78" spans="1:27" x14ac:dyDescent="0.25">
      <c r="A78" s="2" t="s">
        <v>164</v>
      </c>
      <c r="B78" s="2" t="s">
        <v>78</v>
      </c>
      <c r="C78" s="2" t="s">
        <v>166</v>
      </c>
      <c r="D78" s="2" t="s">
        <v>482</v>
      </c>
      <c r="E78" s="2" t="s">
        <v>79</v>
      </c>
      <c r="F78">
        <v>102122</v>
      </c>
      <c r="G78" s="1">
        <v>45607</v>
      </c>
      <c r="H78" s="1">
        <v>45695</v>
      </c>
      <c r="I78">
        <v>88</v>
      </c>
      <c r="J78" s="2" t="s">
        <v>93</v>
      </c>
      <c r="K78" s="2" t="s">
        <v>483</v>
      </c>
      <c r="L78" s="2" t="s">
        <v>85</v>
      </c>
      <c r="M78">
        <v>1</v>
      </c>
      <c r="N78" s="1">
        <v>45689</v>
      </c>
      <c r="O78" s="2" t="s">
        <v>82</v>
      </c>
      <c r="P78">
        <v>7690</v>
      </c>
      <c r="Q78" s="2" t="s">
        <v>124</v>
      </c>
      <c r="S78" s="2" t="s">
        <v>166</v>
      </c>
      <c r="U78" s="2" t="s">
        <v>166</v>
      </c>
      <c r="V78" s="2" t="s">
        <v>166</v>
      </c>
      <c r="W78">
        <v>74000</v>
      </c>
      <c r="X78">
        <v>1</v>
      </c>
      <c r="Y78">
        <v>74000</v>
      </c>
      <c r="Z78">
        <v>74000</v>
      </c>
      <c r="AA78">
        <v>69</v>
      </c>
    </row>
    <row r="79" spans="1:27" x14ac:dyDescent="0.25">
      <c r="A79" s="2" t="s">
        <v>484</v>
      </c>
      <c r="B79" s="2" t="s">
        <v>78</v>
      </c>
      <c r="C79" s="2" t="s">
        <v>166</v>
      </c>
      <c r="D79" s="2" t="s">
        <v>485</v>
      </c>
      <c r="E79" s="2" t="s">
        <v>109</v>
      </c>
      <c r="F79">
        <v>102122</v>
      </c>
      <c r="G79" s="1">
        <v>45567</v>
      </c>
      <c r="H79" s="1">
        <v>45667</v>
      </c>
      <c r="I79">
        <v>100</v>
      </c>
      <c r="J79" s="2" t="s">
        <v>119</v>
      </c>
      <c r="K79" s="2" t="s">
        <v>486</v>
      </c>
      <c r="L79" s="2" t="s">
        <v>85</v>
      </c>
      <c r="M79">
        <v>1</v>
      </c>
      <c r="N79" s="1">
        <v>45687</v>
      </c>
      <c r="O79" s="2" t="s">
        <v>111</v>
      </c>
      <c r="P79">
        <v>853</v>
      </c>
      <c r="Q79" s="2" t="s">
        <v>487</v>
      </c>
      <c r="S79" s="2" t="s">
        <v>166</v>
      </c>
      <c r="U79" s="2" t="s">
        <v>166</v>
      </c>
      <c r="V79" s="2" t="s">
        <v>166</v>
      </c>
      <c r="W79">
        <v>50000</v>
      </c>
      <c r="X79">
        <v>1</v>
      </c>
      <c r="Y79">
        <v>50000</v>
      </c>
      <c r="Z79">
        <v>50000</v>
      </c>
      <c r="AA79">
        <v>84</v>
      </c>
    </row>
    <row r="80" spans="1:27" x14ac:dyDescent="0.25">
      <c r="A80" s="2" t="s">
        <v>488</v>
      </c>
      <c r="B80" s="2" t="s">
        <v>78</v>
      </c>
      <c r="C80" s="2" t="s">
        <v>166</v>
      </c>
      <c r="D80" s="2" t="s">
        <v>489</v>
      </c>
      <c r="E80" s="2" t="s">
        <v>109</v>
      </c>
      <c r="F80">
        <v>102122</v>
      </c>
      <c r="G80" s="1">
        <v>45841</v>
      </c>
      <c r="H80" s="1">
        <v>45992</v>
      </c>
      <c r="I80">
        <v>151</v>
      </c>
      <c r="J80" s="2" t="s">
        <v>83</v>
      </c>
      <c r="K80" s="2" t="s">
        <v>424</v>
      </c>
      <c r="L80" s="2" t="s">
        <v>85</v>
      </c>
      <c r="M80">
        <v>2</v>
      </c>
      <c r="N80" s="1">
        <v>45868</v>
      </c>
      <c r="O80" s="2" t="s">
        <v>111</v>
      </c>
      <c r="P80">
        <v>545</v>
      </c>
      <c r="Q80" s="2" t="s">
        <v>145</v>
      </c>
      <c r="S80" s="2" t="s">
        <v>166</v>
      </c>
      <c r="U80" s="2" t="s">
        <v>166</v>
      </c>
      <c r="V80" s="2" t="s">
        <v>166</v>
      </c>
      <c r="W80">
        <v>60000</v>
      </c>
      <c r="X80">
        <v>1</v>
      </c>
      <c r="Y80">
        <v>60000</v>
      </c>
      <c r="Z80">
        <v>60000</v>
      </c>
      <c r="AA80">
        <v>83</v>
      </c>
    </row>
    <row r="81" spans="1:27" x14ac:dyDescent="0.25">
      <c r="A81" s="2" t="s">
        <v>156</v>
      </c>
      <c r="B81" s="2" t="s">
        <v>78</v>
      </c>
      <c r="C81" s="2" t="s">
        <v>166</v>
      </c>
      <c r="D81" s="2" t="s">
        <v>490</v>
      </c>
      <c r="E81" s="2" t="s">
        <v>109</v>
      </c>
      <c r="F81">
        <v>102122</v>
      </c>
      <c r="G81" s="1">
        <v>45765</v>
      </c>
      <c r="H81" s="1">
        <v>45946</v>
      </c>
      <c r="I81">
        <v>181</v>
      </c>
      <c r="J81" s="2" t="s">
        <v>120</v>
      </c>
      <c r="K81" s="2" t="s">
        <v>491</v>
      </c>
      <c r="L81" s="2" t="s">
        <v>85</v>
      </c>
      <c r="M81">
        <v>1</v>
      </c>
      <c r="N81" s="1">
        <v>45899</v>
      </c>
      <c r="O81" s="2" t="s">
        <v>111</v>
      </c>
      <c r="P81">
        <v>545</v>
      </c>
      <c r="Q81" s="2" t="s">
        <v>145</v>
      </c>
      <c r="S81" s="2" t="s">
        <v>166</v>
      </c>
      <c r="U81" s="2" t="s">
        <v>166</v>
      </c>
      <c r="V81" s="2" t="s">
        <v>166</v>
      </c>
      <c r="W81">
        <v>100000</v>
      </c>
      <c r="X81">
        <v>1</v>
      </c>
      <c r="Y81">
        <v>100000</v>
      </c>
      <c r="Z81">
        <v>100000</v>
      </c>
      <c r="AA81">
        <v>82</v>
      </c>
    </row>
    <row r="82" spans="1:27" x14ac:dyDescent="0.25">
      <c r="A82" s="2" t="s">
        <v>492</v>
      </c>
      <c r="B82" s="2" t="s">
        <v>78</v>
      </c>
      <c r="C82" s="2" t="s">
        <v>166</v>
      </c>
      <c r="D82" s="2" t="s">
        <v>493</v>
      </c>
      <c r="E82" s="2" t="s">
        <v>109</v>
      </c>
      <c r="F82">
        <v>102122</v>
      </c>
      <c r="G82" s="1">
        <v>45552</v>
      </c>
      <c r="H82" s="1">
        <v>45672</v>
      </c>
      <c r="I82">
        <v>120</v>
      </c>
      <c r="J82" s="2" t="s">
        <v>110</v>
      </c>
      <c r="K82" s="2" t="s">
        <v>494</v>
      </c>
      <c r="L82" s="2" t="s">
        <v>81</v>
      </c>
      <c r="M82">
        <v>1</v>
      </c>
      <c r="N82" s="1">
        <v>45672</v>
      </c>
      <c r="O82" s="2" t="s">
        <v>111</v>
      </c>
      <c r="P82">
        <v>661</v>
      </c>
      <c r="Q82" s="2" t="s">
        <v>495</v>
      </c>
      <c r="S82" s="2" t="s">
        <v>166</v>
      </c>
      <c r="U82" s="2" t="s">
        <v>166</v>
      </c>
      <c r="V82" s="2" t="s">
        <v>166</v>
      </c>
      <c r="W82">
        <v>225000</v>
      </c>
      <c r="X82">
        <v>1</v>
      </c>
      <c r="Y82">
        <v>225000</v>
      </c>
      <c r="Z82">
        <v>225000</v>
      </c>
      <c r="AA82">
        <v>86</v>
      </c>
    </row>
    <row r="83" spans="1:27" x14ac:dyDescent="0.25">
      <c r="A83" s="2" t="s">
        <v>496</v>
      </c>
      <c r="B83" s="2" t="s">
        <v>78</v>
      </c>
      <c r="C83" s="2" t="s">
        <v>166</v>
      </c>
      <c r="D83" s="2" t="s">
        <v>497</v>
      </c>
      <c r="E83" s="2" t="s">
        <v>109</v>
      </c>
      <c r="F83">
        <v>102122</v>
      </c>
      <c r="G83" s="1">
        <v>45719</v>
      </c>
      <c r="H83" s="1">
        <v>45839</v>
      </c>
      <c r="I83">
        <v>120</v>
      </c>
      <c r="J83" s="2" t="s">
        <v>128</v>
      </c>
      <c r="K83" s="2" t="s">
        <v>498</v>
      </c>
      <c r="L83" s="2" t="s">
        <v>85</v>
      </c>
      <c r="M83">
        <v>1</v>
      </c>
      <c r="N83" s="1">
        <v>45839</v>
      </c>
      <c r="O83" s="2" t="s">
        <v>111</v>
      </c>
      <c r="P83">
        <v>732</v>
      </c>
      <c r="Q83" s="2" t="s">
        <v>499</v>
      </c>
      <c r="S83" s="2" t="s">
        <v>166</v>
      </c>
      <c r="U83" s="2" t="s">
        <v>166</v>
      </c>
      <c r="V83" s="2" t="s">
        <v>166</v>
      </c>
      <c r="W83">
        <v>55000</v>
      </c>
      <c r="X83">
        <v>1</v>
      </c>
      <c r="Y83">
        <v>55000</v>
      </c>
      <c r="Z83">
        <v>55000</v>
      </c>
      <c r="AA83">
        <v>80</v>
      </c>
    </row>
    <row r="84" spans="1:27" x14ac:dyDescent="0.25">
      <c r="A84" s="2" t="s">
        <v>150</v>
      </c>
      <c r="B84" s="2" t="s">
        <v>78</v>
      </c>
      <c r="C84" s="2" t="s">
        <v>166</v>
      </c>
      <c r="D84" s="2" t="s">
        <v>500</v>
      </c>
      <c r="E84" s="2" t="s">
        <v>112</v>
      </c>
      <c r="F84">
        <v>102122</v>
      </c>
      <c r="G84" s="1">
        <v>45644</v>
      </c>
      <c r="H84" s="1">
        <v>45793</v>
      </c>
      <c r="I84">
        <v>149</v>
      </c>
      <c r="J84" s="2" t="s">
        <v>120</v>
      </c>
      <c r="K84" s="2" t="s">
        <v>501</v>
      </c>
      <c r="L84" s="2" t="s">
        <v>85</v>
      </c>
      <c r="M84">
        <v>1</v>
      </c>
      <c r="N84" s="1">
        <v>45746</v>
      </c>
      <c r="O84" s="2" t="s">
        <v>111</v>
      </c>
      <c r="P84">
        <v>542</v>
      </c>
      <c r="Q84" s="2" t="s">
        <v>502</v>
      </c>
      <c r="S84" s="2" t="s">
        <v>166</v>
      </c>
      <c r="U84" s="2" t="s">
        <v>166</v>
      </c>
      <c r="V84" s="2" t="s">
        <v>166</v>
      </c>
      <c r="W84">
        <v>1850000</v>
      </c>
      <c r="X84">
        <v>1</v>
      </c>
      <c r="Y84">
        <v>1850000</v>
      </c>
      <c r="Z84">
        <v>1850000</v>
      </c>
      <c r="AA84">
        <v>89</v>
      </c>
    </row>
    <row r="85" spans="1:27" x14ac:dyDescent="0.25">
      <c r="A85" s="2" t="s">
        <v>503</v>
      </c>
      <c r="B85" s="2" t="s">
        <v>78</v>
      </c>
      <c r="C85" s="2" t="s">
        <v>166</v>
      </c>
      <c r="D85" s="2" t="s">
        <v>504</v>
      </c>
      <c r="E85" s="2" t="s">
        <v>112</v>
      </c>
      <c r="F85">
        <v>102122</v>
      </c>
      <c r="G85" s="1">
        <v>45664</v>
      </c>
      <c r="H85" s="1">
        <v>45775</v>
      </c>
      <c r="I85">
        <v>111</v>
      </c>
      <c r="J85" s="2" t="s">
        <v>120</v>
      </c>
      <c r="K85" s="2" t="s">
        <v>505</v>
      </c>
      <c r="L85" s="2" t="s">
        <v>85</v>
      </c>
      <c r="M85">
        <v>1</v>
      </c>
      <c r="N85" s="1">
        <v>45991</v>
      </c>
      <c r="O85" s="2" t="s">
        <v>111</v>
      </c>
      <c r="P85">
        <v>833</v>
      </c>
      <c r="Q85" s="2" t="s">
        <v>506</v>
      </c>
      <c r="S85" s="2" t="s">
        <v>166</v>
      </c>
      <c r="U85" s="2" t="s">
        <v>166</v>
      </c>
      <c r="V85" s="2" t="s">
        <v>166</v>
      </c>
      <c r="W85">
        <v>1260000</v>
      </c>
      <c r="X85">
        <v>1</v>
      </c>
      <c r="Y85">
        <v>1260000</v>
      </c>
      <c r="Z85">
        <v>1260000</v>
      </c>
      <c r="AA85">
        <v>91</v>
      </c>
    </row>
    <row r="86" spans="1:27" x14ac:dyDescent="0.25">
      <c r="A86" s="2" t="s">
        <v>84</v>
      </c>
      <c r="B86" s="2" t="s">
        <v>78</v>
      </c>
      <c r="C86" s="2" t="s">
        <v>166</v>
      </c>
      <c r="D86" s="2" t="s">
        <v>507</v>
      </c>
      <c r="E86" s="2" t="s">
        <v>109</v>
      </c>
      <c r="F86">
        <v>102122</v>
      </c>
      <c r="G86" s="1">
        <v>45630</v>
      </c>
      <c r="H86" s="1">
        <v>45744</v>
      </c>
      <c r="I86">
        <v>114</v>
      </c>
      <c r="J86" s="2" t="s">
        <v>113</v>
      </c>
      <c r="K86" s="2" t="s">
        <v>508</v>
      </c>
      <c r="L86" s="2" t="s">
        <v>85</v>
      </c>
      <c r="M86">
        <v>1</v>
      </c>
      <c r="N86" s="1">
        <v>45797</v>
      </c>
      <c r="O86" s="2" t="s">
        <v>111</v>
      </c>
      <c r="P86">
        <v>839</v>
      </c>
      <c r="Q86" s="2" t="s">
        <v>509</v>
      </c>
      <c r="S86" s="2" t="s">
        <v>166</v>
      </c>
      <c r="U86" s="2" t="s">
        <v>166</v>
      </c>
      <c r="V86" s="2" t="s">
        <v>166</v>
      </c>
      <c r="W86">
        <v>30000</v>
      </c>
      <c r="X86">
        <v>1</v>
      </c>
      <c r="Y86">
        <v>30000</v>
      </c>
      <c r="Z86">
        <v>30000</v>
      </c>
      <c r="AA86">
        <v>95</v>
      </c>
    </row>
    <row r="87" spans="1:27" x14ac:dyDescent="0.25">
      <c r="A87" s="2" t="s">
        <v>510</v>
      </c>
      <c r="B87" s="2" t="s">
        <v>78</v>
      </c>
      <c r="C87" s="2" t="s">
        <v>166</v>
      </c>
      <c r="D87" s="2" t="s">
        <v>511</v>
      </c>
      <c r="E87" s="2" t="s">
        <v>152</v>
      </c>
      <c r="F87">
        <v>102122</v>
      </c>
      <c r="G87" s="1">
        <v>45873</v>
      </c>
      <c r="H87" s="1">
        <v>46021</v>
      </c>
      <c r="I87">
        <v>148</v>
      </c>
      <c r="J87" s="2" t="s">
        <v>120</v>
      </c>
      <c r="K87" s="2" t="s">
        <v>512</v>
      </c>
      <c r="L87" s="2" t="s">
        <v>85</v>
      </c>
      <c r="M87">
        <v>1</v>
      </c>
      <c r="N87" s="1">
        <v>45960</v>
      </c>
      <c r="O87" s="2" t="s">
        <v>111</v>
      </c>
      <c r="P87">
        <v>833</v>
      </c>
      <c r="Q87" s="2" t="s">
        <v>506</v>
      </c>
      <c r="S87" s="2" t="s">
        <v>166</v>
      </c>
      <c r="U87" s="2" t="s">
        <v>166</v>
      </c>
      <c r="V87" s="2" t="s">
        <v>166</v>
      </c>
      <c r="W87">
        <v>900000</v>
      </c>
      <c r="X87">
        <v>1</v>
      </c>
      <c r="Y87">
        <v>900000</v>
      </c>
      <c r="Z87">
        <v>900000</v>
      </c>
      <c r="AA87">
        <v>92</v>
      </c>
    </row>
    <row r="88" spans="1:27" x14ac:dyDescent="0.25">
      <c r="A88" s="2" t="s">
        <v>513</v>
      </c>
      <c r="B88" s="2" t="s">
        <v>78</v>
      </c>
      <c r="C88" s="2" t="s">
        <v>166</v>
      </c>
      <c r="D88" s="2" t="s">
        <v>514</v>
      </c>
      <c r="E88" s="2" t="s">
        <v>109</v>
      </c>
      <c r="F88">
        <v>102122</v>
      </c>
      <c r="G88" s="1">
        <v>45880</v>
      </c>
      <c r="H88" s="1">
        <v>45960</v>
      </c>
      <c r="I88">
        <v>80</v>
      </c>
      <c r="J88" s="2" t="s">
        <v>83</v>
      </c>
      <c r="K88" s="2" t="s">
        <v>424</v>
      </c>
      <c r="L88" s="2" t="s">
        <v>85</v>
      </c>
      <c r="M88">
        <v>1</v>
      </c>
      <c r="N88" s="1">
        <v>45868</v>
      </c>
      <c r="O88" s="2" t="s">
        <v>111</v>
      </c>
      <c r="P88">
        <v>859</v>
      </c>
      <c r="Q88" s="2" t="s">
        <v>123</v>
      </c>
      <c r="S88" s="2" t="s">
        <v>166</v>
      </c>
      <c r="U88" s="2" t="s">
        <v>166</v>
      </c>
      <c r="V88" s="2" t="s">
        <v>166</v>
      </c>
      <c r="W88">
        <v>15000</v>
      </c>
      <c r="X88">
        <v>1</v>
      </c>
      <c r="Y88">
        <v>15000</v>
      </c>
      <c r="Z88">
        <v>15000</v>
      </c>
      <c r="AA88">
        <v>94</v>
      </c>
    </row>
    <row r="89" spans="1:27" x14ac:dyDescent="0.25">
      <c r="A89" s="2" t="s">
        <v>515</v>
      </c>
      <c r="B89" s="2" t="s">
        <v>78</v>
      </c>
      <c r="C89" s="2" t="s">
        <v>166</v>
      </c>
      <c r="D89" s="2" t="s">
        <v>516</v>
      </c>
      <c r="E89" s="2" t="s">
        <v>109</v>
      </c>
      <c r="F89">
        <v>102122</v>
      </c>
      <c r="G89" s="1">
        <v>45742</v>
      </c>
      <c r="H89" s="1">
        <v>45862</v>
      </c>
      <c r="I89">
        <v>120</v>
      </c>
      <c r="J89" s="2" t="s">
        <v>110</v>
      </c>
      <c r="K89" s="2" t="s">
        <v>517</v>
      </c>
      <c r="L89" s="2" t="s">
        <v>85</v>
      </c>
      <c r="M89">
        <v>1</v>
      </c>
      <c r="N89" s="1">
        <v>45667</v>
      </c>
      <c r="O89" s="2" t="s">
        <v>111</v>
      </c>
      <c r="P89">
        <v>871</v>
      </c>
      <c r="Q89" s="2" t="s">
        <v>369</v>
      </c>
      <c r="S89" s="2" t="s">
        <v>166</v>
      </c>
      <c r="U89" s="2" t="s">
        <v>166</v>
      </c>
      <c r="V89" s="2" t="s">
        <v>166</v>
      </c>
      <c r="W89">
        <v>32000</v>
      </c>
      <c r="X89">
        <v>1</v>
      </c>
      <c r="Y89">
        <v>32000</v>
      </c>
      <c r="Z89">
        <v>32000</v>
      </c>
      <c r="AA89">
        <v>93</v>
      </c>
    </row>
    <row r="90" spans="1:27" x14ac:dyDescent="0.25">
      <c r="A90" s="2" t="s">
        <v>518</v>
      </c>
      <c r="B90" s="2" t="s">
        <v>78</v>
      </c>
      <c r="C90" s="2" t="s">
        <v>166</v>
      </c>
      <c r="D90" s="2" t="s">
        <v>519</v>
      </c>
      <c r="E90" s="2" t="s">
        <v>109</v>
      </c>
      <c r="F90">
        <v>102122</v>
      </c>
      <c r="G90" s="1">
        <v>45483</v>
      </c>
      <c r="H90" s="1">
        <v>45663</v>
      </c>
      <c r="I90">
        <v>180</v>
      </c>
      <c r="J90" s="2" t="s">
        <v>110</v>
      </c>
      <c r="K90" s="2" t="s">
        <v>520</v>
      </c>
      <c r="L90" s="2" t="s">
        <v>85</v>
      </c>
      <c r="M90">
        <v>1</v>
      </c>
      <c r="N90" s="1">
        <v>45667</v>
      </c>
      <c r="O90" s="2" t="s">
        <v>111</v>
      </c>
      <c r="P90">
        <v>871</v>
      </c>
      <c r="Q90" s="2" t="s">
        <v>369</v>
      </c>
      <c r="S90" s="2" t="s">
        <v>166</v>
      </c>
      <c r="U90" s="2" t="s">
        <v>166</v>
      </c>
      <c r="V90" s="2" t="s">
        <v>166</v>
      </c>
      <c r="W90">
        <v>200000</v>
      </c>
      <c r="X90">
        <v>1</v>
      </c>
      <c r="Y90">
        <v>200000</v>
      </c>
      <c r="Z90">
        <v>200000</v>
      </c>
      <c r="AA90">
        <v>101</v>
      </c>
    </row>
    <row r="91" spans="1:27" x14ac:dyDescent="0.25">
      <c r="A91" s="2" t="s">
        <v>157</v>
      </c>
      <c r="B91" s="2" t="s">
        <v>78</v>
      </c>
      <c r="C91" s="2" t="s">
        <v>166</v>
      </c>
      <c r="D91" s="2" t="s">
        <v>130</v>
      </c>
      <c r="E91" s="2" t="s">
        <v>109</v>
      </c>
      <c r="F91">
        <v>102122</v>
      </c>
      <c r="G91" s="1">
        <v>45636</v>
      </c>
      <c r="H91" s="1">
        <v>45726</v>
      </c>
      <c r="I91">
        <v>90</v>
      </c>
      <c r="J91" s="2" t="s">
        <v>93</v>
      </c>
      <c r="K91" s="2" t="s">
        <v>521</v>
      </c>
      <c r="L91" s="2" t="s">
        <v>85</v>
      </c>
      <c r="M91">
        <v>1</v>
      </c>
      <c r="N91" s="1">
        <v>45748</v>
      </c>
      <c r="O91" s="2" t="s">
        <v>111</v>
      </c>
      <c r="P91">
        <v>872</v>
      </c>
      <c r="Q91" s="2" t="s">
        <v>133</v>
      </c>
      <c r="S91" s="2" t="s">
        <v>166</v>
      </c>
      <c r="U91" s="2" t="s">
        <v>166</v>
      </c>
      <c r="V91" s="2" t="s">
        <v>166</v>
      </c>
      <c r="W91">
        <v>15000</v>
      </c>
      <c r="X91">
        <v>1</v>
      </c>
      <c r="Y91">
        <v>15000</v>
      </c>
      <c r="Z91">
        <v>15000</v>
      </c>
      <c r="AA91">
        <v>98</v>
      </c>
    </row>
    <row r="92" spans="1:27" x14ac:dyDescent="0.25">
      <c r="A92" s="2" t="s">
        <v>101</v>
      </c>
      <c r="B92" s="2" t="s">
        <v>78</v>
      </c>
      <c r="C92" s="2" t="s">
        <v>166</v>
      </c>
      <c r="D92" s="2" t="s">
        <v>522</v>
      </c>
      <c r="E92" s="2" t="s">
        <v>109</v>
      </c>
      <c r="F92">
        <v>102122</v>
      </c>
      <c r="G92" s="1">
        <v>45708</v>
      </c>
      <c r="H92" s="1">
        <v>45828</v>
      </c>
      <c r="I92">
        <v>120</v>
      </c>
      <c r="J92" s="2" t="s">
        <v>110</v>
      </c>
      <c r="K92" s="2" t="s">
        <v>523</v>
      </c>
      <c r="L92" s="2" t="s">
        <v>85</v>
      </c>
      <c r="M92">
        <v>1</v>
      </c>
      <c r="N92" s="1">
        <v>45828</v>
      </c>
      <c r="O92" s="2" t="s">
        <v>111</v>
      </c>
      <c r="P92">
        <v>891</v>
      </c>
      <c r="Q92" s="2" t="s">
        <v>524</v>
      </c>
      <c r="S92" s="2" t="s">
        <v>166</v>
      </c>
      <c r="U92" s="2" t="s">
        <v>166</v>
      </c>
      <c r="V92" s="2" t="s">
        <v>166</v>
      </c>
      <c r="W92">
        <v>20000</v>
      </c>
      <c r="X92">
        <v>1</v>
      </c>
      <c r="Y92">
        <v>20000</v>
      </c>
      <c r="Z92">
        <v>20000</v>
      </c>
      <c r="AA92">
        <v>97</v>
      </c>
    </row>
    <row r="93" spans="1:27" x14ac:dyDescent="0.25">
      <c r="A93" s="2" t="s">
        <v>99</v>
      </c>
      <c r="B93" s="2" t="s">
        <v>78</v>
      </c>
      <c r="C93" s="2" t="s">
        <v>166</v>
      </c>
      <c r="D93" s="2" t="s">
        <v>525</v>
      </c>
      <c r="E93" s="2" t="s">
        <v>109</v>
      </c>
      <c r="F93">
        <v>102122</v>
      </c>
      <c r="G93" s="1">
        <v>45831</v>
      </c>
      <c r="H93" s="1">
        <v>45931</v>
      </c>
      <c r="I93">
        <v>100</v>
      </c>
      <c r="J93" s="2" t="s">
        <v>110</v>
      </c>
      <c r="K93" s="2" t="s">
        <v>526</v>
      </c>
      <c r="L93" s="2" t="s">
        <v>85</v>
      </c>
      <c r="M93">
        <v>1</v>
      </c>
      <c r="N93" s="1">
        <v>45677</v>
      </c>
      <c r="O93" s="2" t="s">
        <v>111</v>
      </c>
      <c r="P93">
        <v>871</v>
      </c>
      <c r="Q93" s="2" t="s">
        <v>369</v>
      </c>
      <c r="S93" s="2" t="s">
        <v>166</v>
      </c>
      <c r="U93" s="2" t="s">
        <v>166</v>
      </c>
      <c r="V93" s="2" t="s">
        <v>166</v>
      </c>
      <c r="W93">
        <v>65000</v>
      </c>
      <c r="X93">
        <v>1</v>
      </c>
      <c r="Y93">
        <v>65000</v>
      </c>
      <c r="Z93">
        <v>65000</v>
      </c>
      <c r="AA93">
        <v>102</v>
      </c>
    </row>
    <row r="94" spans="1:27" x14ac:dyDescent="0.25">
      <c r="A94" s="2" t="s">
        <v>527</v>
      </c>
      <c r="B94" s="2" t="s">
        <v>78</v>
      </c>
      <c r="C94" s="2" t="s">
        <v>166</v>
      </c>
      <c r="D94" s="2" t="s">
        <v>528</v>
      </c>
      <c r="E94" s="2" t="s">
        <v>109</v>
      </c>
      <c r="F94">
        <v>102122</v>
      </c>
      <c r="G94" s="1">
        <v>45874</v>
      </c>
      <c r="H94" s="1">
        <v>45964</v>
      </c>
      <c r="I94">
        <v>90</v>
      </c>
      <c r="J94" s="2" t="s">
        <v>80</v>
      </c>
      <c r="K94" s="2" t="s">
        <v>529</v>
      </c>
      <c r="L94" s="2" t="s">
        <v>85</v>
      </c>
      <c r="M94">
        <v>1</v>
      </c>
      <c r="N94" s="1">
        <v>45964</v>
      </c>
      <c r="O94" s="2" t="s">
        <v>111</v>
      </c>
      <c r="P94">
        <v>929</v>
      </c>
      <c r="Q94" s="2" t="s">
        <v>530</v>
      </c>
      <c r="S94" s="2" t="s">
        <v>166</v>
      </c>
      <c r="U94" s="2" t="s">
        <v>166</v>
      </c>
      <c r="V94" s="2" t="s">
        <v>166</v>
      </c>
      <c r="W94">
        <v>20000</v>
      </c>
      <c r="X94">
        <v>1</v>
      </c>
      <c r="Y94">
        <v>20000</v>
      </c>
      <c r="Z94">
        <v>20000</v>
      </c>
      <c r="AA94">
        <v>96</v>
      </c>
    </row>
    <row r="95" spans="1:27" x14ac:dyDescent="0.25">
      <c r="A95" s="2" t="s">
        <v>129</v>
      </c>
      <c r="B95" s="2" t="s">
        <v>78</v>
      </c>
      <c r="C95" s="2" t="s">
        <v>166</v>
      </c>
      <c r="D95" s="2" t="s">
        <v>531</v>
      </c>
      <c r="E95" s="2" t="s">
        <v>79</v>
      </c>
      <c r="F95">
        <v>102122</v>
      </c>
      <c r="G95" s="1">
        <v>45840</v>
      </c>
      <c r="H95" s="1">
        <v>45960</v>
      </c>
      <c r="I95">
        <v>120</v>
      </c>
      <c r="J95" s="2" t="s">
        <v>96</v>
      </c>
      <c r="K95" s="2" t="s">
        <v>413</v>
      </c>
      <c r="L95" s="2" t="s">
        <v>85</v>
      </c>
      <c r="M95">
        <v>1</v>
      </c>
      <c r="N95" s="1">
        <v>45899</v>
      </c>
      <c r="O95" s="2" t="s">
        <v>82</v>
      </c>
      <c r="P95">
        <v>6515</v>
      </c>
      <c r="Q95" s="2" t="s">
        <v>104</v>
      </c>
      <c r="S95" s="2" t="s">
        <v>166</v>
      </c>
      <c r="U95" s="2" t="s">
        <v>166</v>
      </c>
      <c r="V95" s="2" t="s">
        <v>166</v>
      </c>
      <c r="W95">
        <v>200000</v>
      </c>
      <c r="X95">
        <v>1</v>
      </c>
      <c r="Y95">
        <v>200000</v>
      </c>
      <c r="Z95">
        <v>200000</v>
      </c>
      <c r="AA95">
        <v>123</v>
      </c>
    </row>
    <row r="96" spans="1:27" x14ac:dyDescent="0.25">
      <c r="A96" s="2" t="s">
        <v>532</v>
      </c>
      <c r="B96" s="2" t="s">
        <v>78</v>
      </c>
      <c r="C96" s="2" t="s">
        <v>166</v>
      </c>
      <c r="D96" s="2" t="s">
        <v>533</v>
      </c>
      <c r="E96" s="2" t="s">
        <v>79</v>
      </c>
      <c r="F96">
        <v>102122</v>
      </c>
      <c r="G96" s="1">
        <v>45840</v>
      </c>
      <c r="H96" s="1">
        <v>45960</v>
      </c>
      <c r="I96">
        <v>120</v>
      </c>
      <c r="J96" s="2" t="s">
        <v>534</v>
      </c>
      <c r="K96" s="2" t="s">
        <v>535</v>
      </c>
      <c r="L96" s="2" t="s">
        <v>85</v>
      </c>
      <c r="M96">
        <v>1</v>
      </c>
      <c r="N96" s="1">
        <v>45899</v>
      </c>
      <c r="O96" s="2" t="s">
        <v>82</v>
      </c>
      <c r="P96">
        <v>6525</v>
      </c>
      <c r="Q96" s="2" t="s">
        <v>89</v>
      </c>
      <c r="S96" s="2" t="s">
        <v>166</v>
      </c>
      <c r="U96" s="2" t="s">
        <v>166</v>
      </c>
      <c r="V96" s="2" t="s">
        <v>166</v>
      </c>
      <c r="W96">
        <v>250000</v>
      </c>
      <c r="X96">
        <v>1</v>
      </c>
      <c r="Y96">
        <v>250000</v>
      </c>
      <c r="Z96">
        <v>250000</v>
      </c>
      <c r="AA96">
        <v>122</v>
      </c>
    </row>
    <row r="97" spans="1:27" x14ac:dyDescent="0.25">
      <c r="A97" s="2" t="s">
        <v>536</v>
      </c>
      <c r="B97" s="2" t="s">
        <v>78</v>
      </c>
      <c r="C97" s="2" t="s">
        <v>166</v>
      </c>
      <c r="D97" s="2" t="s">
        <v>537</v>
      </c>
      <c r="E97" s="2" t="s">
        <v>79</v>
      </c>
      <c r="F97">
        <v>102122</v>
      </c>
      <c r="G97" s="1">
        <v>45805</v>
      </c>
      <c r="H97" s="1">
        <v>45925</v>
      </c>
      <c r="I97">
        <v>120</v>
      </c>
      <c r="J97" s="2" t="s">
        <v>110</v>
      </c>
      <c r="K97" s="2" t="s">
        <v>538</v>
      </c>
      <c r="L97" s="2" t="s">
        <v>85</v>
      </c>
      <c r="M97">
        <v>1</v>
      </c>
      <c r="N97" s="1">
        <v>45960</v>
      </c>
      <c r="O97" s="2" t="s">
        <v>82</v>
      </c>
      <c r="P97">
        <v>4120</v>
      </c>
      <c r="Q97" s="2" t="s">
        <v>131</v>
      </c>
      <c r="S97" s="2" t="s">
        <v>166</v>
      </c>
      <c r="U97" s="2" t="s">
        <v>166</v>
      </c>
      <c r="V97" s="2" t="s">
        <v>166</v>
      </c>
      <c r="W97">
        <v>230000</v>
      </c>
      <c r="X97">
        <v>1</v>
      </c>
      <c r="Y97">
        <v>230000</v>
      </c>
      <c r="Z97">
        <v>230000</v>
      </c>
      <c r="AA97">
        <v>8</v>
      </c>
    </row>
    <row r="98" spans="1:27" x14ac:dyDescent="0.25">
      <c r="A98" s="2" t="s">
        <v>539</v>
      </c>
      <c r="B98" s="2" t="s">
        <v>78</v>
      </c>
      <c r="C98" s="2" t="s">
        <v>166</v>
      </c>
      <c r="D98" s="2" t="s">
        <v>540</v>
      </c>
      <c r="E98" s="2" t="s">
        <v>79</v>
      </c>
      <c r="F98">
        <v>102122</v>
      </c>
      <c r="G98" s="1">
        <v>45726</v>
      </c>
      <c r="H98" s="1">
        <v>45846</v>
      </c>
      <c r="I98">
        <v>120</v>
      </c>
      <c r="J98" s="2" t="s">
        <v>128</v>
      </c>
      <c r="K98" s="2" t="s">
        <v>453</v>
      </c>
      <c r="L98" s="2" t="s">
        <v>85</v>
      </c>
      <c r="M98">
        <v>2</v>
      </c>
      <c r="N98" s="1">
        <v>45839</v>
      </c>
      <c r="O98" s="2" t="s">
        <v>82</v>
      </c>
      <c r="P98">
        <v>6515</v>
      </c>
      <c r="Q98" s="2" t="s">
        <v>134</v>
      </c>
      <c r="S98" s="2" t="s">
        <v>166</v>
      </c>
      <c r="U98" s="2" t="s">
        <v>166</v>
      </c>
      <c r="V98" s="2" t="s">
        <v>166</v>
      </c>
      <c r="W98">
        <v>20000</v>
      </c>
      <c r="X98">
        <v>1</v>
      </c>
      <c r="Y98">
        <v>20000</v>
      </c>
      <c r="Z98">
        <v>20000</v>
      </c>
      <c r="AA98">
        <v>12</v>
      </c>
    </row>
    <row r="99" spans="1:27" x14ac:dyDescent="0.25">
      <c r="A99" s="2" t="s">
        <v>116</v>
      </c>
      <c r="B99" s="2" t="s">
        <v>78</v>
      </c>
      <c r="C99" s="2" t="s">
        <v>166</v>
      </c>
      <c r="D99" s="2" t="s">
        <v>541</v>
      </c>
      <c r="E99" s="2" t="s">
        <v>79</v>
      </c>
      <c r="F99">
        <v>102122</v>
      </c>
      <c r="G99" s="1">
        <v>45630</v>
      </c>
      <c r="H99" s="1">
        <v>45720</v>
      </c>
      <c r="I99">
        <v>90</v>
      </c>
      <c r="J99" s="2" t="s">
        <v>102</v>
      </c>
      <c r="K99" s="2" t="s">
        <v>542</v>
      </c>
      <c r="L99" s="2" t="s">
        <v>85</v>
      </c>
      <c r="M99">
        <v>1</v>
      </c>
      <c r="N99" s="1">
        <v>45708</v>
      </c>
      <c r="O99" s="2" t="s">
        <v>82</v>
      </c>
      <c r="P99">
        <v>6550</v>
      </c>
      <c r="Q99" s="2" t="s">
        <v>105</v>
      </c>
      <c r="S99" s="2" t="s">
        <v>166</v>
      </c>
      <c r="U99" s="2" t="s">
        <v>166</v>
      </c>
      <c r="V99" s="2" t="s">
        <v>166</v>
      </c>
      <c r="W99">
        <v>4030</v>
      </c>
      <c r="X99">
        <v>1</v>
      </c>
      <c r="Y99">
        <v>4030</v>
      </c>
      <c r="Z99">
        <v>12430</v>
      </c>
      <c r="AA99">
        <v>2</v>
      </c>
    </row>
    <row r="100" spans="1:27" x14ac:dyDescent="0.25">
      <c r="A100" s="2" t="s">
        <v>116</v>
      </c>
      <c r="B100" s="2" t="s">
        <v>78</v>
      </c>
      <c r="C100" s="2" t="s">
        <v>166</v>
      </c>
      <c r="D100" s="2" t="s">
        <v>541</v>
      </c>
      <c r="E100" s="2" t="s">
        <v>79</v>
      </c>
      <c r="F100">
        <v>102122</v>
      </c>
      <c r="G100" s="1">
        <v>45630</v>
      </c>
      <c r="H100" s="1">
        <v>45720</v>
      </c>
      <c r="I100">
        <v>90</v>
      </c>
      <c r="J100" s="2" t="s">
        <v>102</v>
      </c>
      <c r="K100" s="2" t="s">
        <v>542</v>
      </c>
      <c r="L100" s="2" t="s">
        <v>85</v>
      </c>
      <c r="M100">
        <v>2</v>
      </c>
      <c r="N100" s="1">
        <v>45708</v>
      </c>
      <c r="O100" s="2" t="s">
        <v>82</v>
      </c>
      <c r="P100">
        <v>9999</v>
      </c>
      <c r="Q100" s="2" t="s">
        <v>132</v>
      </c>
      <c r="S100" s="2" t="s">
        <v>166</v>
      </c>
      <c r="U100" s="2" t="s">
        <v>166</v>
      </c>
      <c r="V100" s="2" t="s">
        <v>166</v>
      </c>
      <c r="W100">
        <v>8400</v>
      </c>
      <c r="X100">
        <v>1</v>
      </c>
      <c r="Y100">
        <v>8400</v>
      </c>
      <c r="Z100">
        <v>12430</v>
      </c>
      <c r="AA100">
        <v>2</v>
      </c>
    </row>
    <row r="101" spans="1:27" x14ac:dyDescent="0.25">
      <c r="A101" s="2" t="s">
        <v>543</v>
      </c>
      <c r="B101" s="2" t="s">
        <v>78</v>
      </c>
      <c r="C101" s="2" t="s">
        <v>166</v>
      </c>
      <c r="D101" s="2" t="s">
        <v>544</v>
      </c>
      <c r="E101" s="2" t="s">
        <v>79</v>
      </c>
      <c r="F101">
        <v>102122</v>
      </c>
      <c r="G101" s="1">
        <v>45562</v>
      </c>
      <c r="H101" s="1">
        <v>45677</v>
      </c>
      <c r="I101">
        <v>115</v>
      </c>
      <c r="J101" s="2" t="s">
        <v>110</v>
      </c>
      <c r="K101" s="2" t="s">
        <v>545</v>
      </c>
      <c r="L101" s="2" t="s">
        <v>85</v>
      </c>
      <c r="M101">
        <v>1</v>
      </c>
      <c r="N101" s="1">
        <v>45838</v>
      </c>
      <c r="O101" s="2" t="s">
        <v>82</v>
      </c>
      <c r="P101">
        <v>6350</v>
      </c>
      <c r="Q101" s="2" t="s">
        <v>546</v>
      </c>
      <c r="S101" s="2" t="s">
        <v>166</v>
      </c>
      <c r="U101" s="2" t="s">
        <v>166</v>
      </c>
      <c r="V101" s="2" t="s">
        <v>166</v>
      </c>
      <c r="W101">
        <v>120000</v>
      </c>
      <c r="X101">
        <v>1</v>
      </c>
      <c r="Y101">
        <v>120000</v>
      </c>
      <c r="Z101">
        <v>120000</v>
      </c>
      <c r="AA101">
        <v>104</v>
      </c>
    </row>
    <row r="102" spans="1:27" x14ac:dyDescent="0.25">
      <c r="A102" s="2" t="s">
        <v>547</v>
      </c>
      <c r="B102" s="2" t="s">
        <v>78</v>
      </c>
      <c r="C102" s="2" t="s">
        <v>166</v>
      </c>
      <c r="D102" s="2" t="s">
        <v>548</v>
      </c>
      <c r="E102" s="2" t="s">
        <v>79</v>
      </c>
      <c r="F102">
        <v>102122</v>
      </c>
      <c r="G102" s="1">
        <v>45902</v>
      </c>
      <c r="H102" s="1">
        <v>45992</v>
      </c>
      <c r="I102">
        <v>90</v>
      </c>
      <c r="J102" s="2" t="s">
        <v>110</v>
      </c>
      <c r="K102" s="2" t="s">
        <v>549</v>
      </c>
      <c r="L102" s="2" t="s">
        <v>92</v>
      </c>
      <c r="M102">
        <v>1</v>
      </c>
      <c r="N102" s="1">
        <v>46001</v>
      </c>
      <c r="O102" s="2" t="s">
        <v>82</v>
      </c>
      <c r="P102">
        <v>7290</v>
      </c>
      <c r="Q102" s="2" t="s">
        <v>550</v>
      </c>
      <c r="S102" s="2" t="s">
        <v>166</v>
      </c>
      <c r="U102" s="2" t="s">
        <v>166</v>
      </c>
      <c r="V102" s="2" t="s">
        <v>166</v>
      </c>
      <c r="W102">
        <v>30000</v>
      </c>
      <c r="X102">
        <v>1</v>
      </c>
      <c r="Y102">
        <v>30000</v>
      </c>
      <c r="Z102">
        <v>30000</v>
      </c>
      <c r="AA102">
        <v>103</v>
      </c>
    </row>
    <row r="103" spans="1:27" x14ac:dyDescent="0.25">
      <c r="A103" s="2" t="s">
        <v>551</v>
      </c>
      <c r="B103" s="2" t="s">
        <v>78</v>
      </c>
      <c r="C103" s="2" t="s">
        <v>166</v>
      </c>
      <c r="D103" s="2" t="s">
        <v>552</v>
      </c>
      <c r="E103" s="2" t="s">
        <v>109</v>
      </c>
      <c r="F103">
        <v>102122</v>
      </c>
      <c r="G103" s="1">
        <v>45664</v>
      </c>
      <c r="H103" s="1">
        <v>45751</v>
      </c>
      <c r="I103">
        <v>87</v>
      </c>
      <c r="J103" s="2" t="s">
        <v>103</v>
      </c>
      <c r="K103" s="2" t="s">
        <v>553</v>
      </c>
      <c r="L103" s="2" t="s">
        <v>85</v>
      </c>
      <c r="M103">
        <v>1</v>
      </c>
      <c r="N103" s="1">
        <v>45777</v>
      </c>
      <c r="O103" s="2" t="s">
        <v>111</v>
      </c>
      <c r="P103">
        <v>871</v>
      </c>
      <c r="Q103" s="2" t="s">
        <v>369</v>
      </c>
      <c r="S103" s="2" t="s">
        <v>166</v>
      </c>
      <c r="U103" s="2" t="s">
        <v>166</v>
      </c>
      <c r="V103" s="2" t="s">
        <v>166</v>
      </c>
      <c r="W103">
        <v>220000</v>
      </c>
      <c r="X103">
        <v>1</v>
      </c>
      <c r="Y103">
        <v>220000</v>
      </c>
      <c r="Z103">
        <v>220000</v>
      </c>
      <c r="AA103">
        <v>100</v>
      </c>
    </row>
    <row r="104" spans="1:27" x14ac:dyDescent="0.25">
      <c r="A104" s="2" t="s">
        <v>114</v>
      </c>
      <c r="B104" s="2" t="s">
        <v>78</v>
      </c>
      <c r="C104" s="2" t="s">
        <v>166</v>
      </c>
      <c r="D104" s="2" t="s">
        <v>554</v>
      </c>
      <c r="E104" s="2" t="s">
        <v>109</v>
      </c>
      <c r="F104">
        <v>102122</v>
      </c>
      <c r="G104" s="1">
        <v>45833</v>
      </c>
      <c r="H104" s="1">
        <v>45953</v>
      </c>
      <c r="I104">
        <v>120</v>
      </c>
      <c r="J104" s="2" t="s">
        <v>110</v>
      </c>
      <c r="K104" s="2" t="s">
        <v>538</v>
      </c>
      <c r="L104" s="2" t="s">
        <v>85</v>
      </c>
      <c r="M104">
        <v>1</v>
      </c>
      <c r="N104" s="1">
        <v>45960</v>
      </c>
      <c r="O104" s="2" t="s">
        <v>111</v>
      </c>
      <c r="P104">
        <v>873</v>
      </c>
      <c r="Q104" s="2" t="s">
        <v>555</v>
      </c>
      <c r="S104" s="2" t="s">
        <v>166</v>
      </c>
      <c r="U104" s="2" t="s">
        <v>166</v>
      </c>
      <c r="V104" s="2" t="s">
        <v>166</v>
      </c>
      <c r="W104">
        <v>70000</v>
      </c>
      <c r="X104">
        <v>1</v>
      </c>
      <c r="Y104">
        <v>70000</v>
      </c>
      <c r="Z104">
        <v>70000</v>
      </c>
      <c r="AA104">
        <v>99</v>
      </c>
    </row>
    <row r="105" spans="1:27" x14ac:dyDescent="0.25">
      <c r="A105" s="2" t="s">
        <v>556</v>
      </c>
      <c r="B105" s="2" t="s">
        <v>78</v>
      </c>
      <c r="C105" s="2" t="s">
        <v>166</v>
      </c>
      <c r="D105" s="2" t="s">
        <v>557</v>
      </c>
      <c r="E105" s="2" t="s">
        <v>109</v>
      </c>
      <c r="F105">
        <v>102122</v>
      </c>
      <c r="G105" s="1">
        <v>45810</v>
      </c>
      <c r="H105" s="1">
        <v>45960</v>
      </c>
      <c r="I105">
        <v>150</v>
      </c>
      <c r="J105" s="2" t="s">
        <v>120</v>
      </c>
      <c r="K105" s="2" t="s">
        <v>558</v>
      </c>
      <c r="L105" s="2" t="s">
        <v>92</v>
      </c>
      <c r="M105">
        <v>1</v>
      </c>
      <c r="N105" s="1">
        <v>45868</v>
      </c>
      <c r="O105" s="2" t="s">
        <v>111</v>
      </c>
      <c r="P105">
        <v>833</v>
      </c>
      <c r="Q105" s="2" t="s">
        <v>506</v>
      </c>
      <c r="S105" s="2" t="s">
        <v>166</v>
      </c>
      <c r="U105" s="2" t="s">
        <v>166</v>
      </c>
      <c r="V105" s="2" t="s">
        <v>166</v>
      </c>
      <c r="W105">
        <v>250000</v>
      </c>
      <c r="X105">
        <v>1</v>
      </c>
      <c r="Y105">
        <v>250000</v>
      </c>
      <c r="Z105">
        <v>250000</v>
      </c>
      <c r="AA105">
        <v>90</v>
      </c>
    </row>
    <row r="106" spans="1:27" x14ac:dyDescent="0.25">
      <c r="A106" s="2" t="s">
        <v>559</v>
      </c>
      <c r="B106" s="2" t="s">
        <v>78</v>
      </c>
      <c r="C106" s="2" t="s">
        <v>166</v>
      </c>
      <c r="D106" s="2" t="s">
        <v>560</v>
      </c>
      <c r="E106" s="2" t="s">
        <v>109</v>
      </c>
      <c r="F106">
        <v>102122</v>
      </c>
      <c r="G106" s="1">
        <v>45629</v>
      </c>
      <c r="H106" s="1">
        <v>45805</v>
      </c>
      <c r="I106">
        <v>176</v>
      </c>
      <c r="J106" s="2" t="s">
        <v>120</v>
      </c>
      <c r="K106" s="2" t="s">
        <v>561</v>
      </c>
      <c r="L106" s="2" t="s">
        <v>85</v>
      </c>
      <c r="M106">
        <v>1</v>
      </c>
      <c r="N106" s="1">
        <v>45808</v>
      </c>
      <c r="O106" s="2" t="s">
        <v>111</v>
      </c>
      <c r="P106">
        <v>545</v>
      </c>
      <c r="Q106" s="2" t="s">
        <v>145</v>
      </c>
      <c r="S106" s="2" t="s">
        <v>166</v>
      </c>
      <c r="U106" s="2" t="s">
        <v>166</v>
      </c>
      <c r="V106" s="2" t="s">
        <v>166</v>
      </c>
      <c r="W106">
        <v>100000</v>
      </c>
      <c r="X106">
        <v>1</v>
      </c>
      <c r="Y106">
        <v>100000</v>
      </c>
      <c r="Z106">
        <v>100000</v>
      </c>
      <c r="AA106">
        <v>81</v>
      </c>
    </row>
    <row r="107" spans="1:27" x14ac:dyDescent="0.25">
      <c r="A107" s="2" t="s">
        <v>149</v>
      </c>
      <c r="B107" s="2" t="s">
        <v>78</v>
      </c>
      <c r="C107" s="2" t="s">
        <v>166</v>
      </c>
      <c r="D107" s="2" t="s">
        <v>562</v>
      </c>
      <c r="E107" s="2" t="s">
        <v>112</v>
      </c>
      <c r="F107">
        <v>102122</v>
      </c>
      <c r="G107" s="1">
        <v>45820</v>
      </c>
      <c r="H107" s="1">
        <v>45940</v>
      </c>
      <c r="I107">
        <v>120</v>
      </c>
      <c r="J107" s="2" t="s">
        <v>110</v>
      </c>
      <c r="K107" s="2" t="s">
        <v>563</v>
      </c>
      <c r="L107" s="2" t="s">
        <v>85</v>
      </c>
      <c r="M107">
        <v>1</v>
      </c>
      <c r="N107" s="1">
        <v>45868</v>
      </c>
      <c r="O107" s="2" t="s">
        <v>111</v>
      </c>
      <c r="P107">
        <v>833</v>
      </c>
      <c r="Q107" s="2" t="s">
        <v>506</v>
      </c>
      <c r="S107" s="2" t="s">
        <v>166</v>
      </c>
      <c r="T107">
        <v>22225</v>
      </c>
      <c r="U107" s="2" t="s">
        <v>564</v>
      </c>
      <c r="V107" s="2" t="s">
        <v>166</v>
      </c>
      <c r="W107">
        <v>700000</v>
      </c>
      <c r="X107">
        <v>1</v>
      </c>
      <c r="Y107">
        <v>700000</v>
      </c>
      <c r="Z107">
        <v>700000</v>
      </c>
      <c r="AA107">
        <v>109</v>
      </c>
    </row>
    <row r="108" spans="1:27" x14ac:dyDescent="0.25">
      <c r="A108" s="2" t="s">
        <v>565</v>
      </c>
      <c r="B108" s="2" t="s">
        <v>78</v>
      </c>
      <c r="C108" s="2" t="s">
        <v>166</v>
      </c>
      <c r="D108" s="2" t="s">
        <v>566</v>
      </c>
      <c r="E108" s="2" t="s">
        <v>112</v>
      </c>
      <c r="F108">
        <v>102122</v>
      </c>
      <c r="G108" s="1">
        <v>45694</v>
      </c>
      <c r="H108" s="1">
        <v>45810</v>
      </c>
      <c r="I108">
        <v>116</v>
      </c>
      <c r="J108" s="2" t="s">
        <v>110</v>
      </c>
      <c r="K108" s="2" t="s">
        <v>567</v>
      </c>
      <c r="L108" s="2" t="s">
        <v>85</v>
      </c>
      <c r="M108">
        <v>1</v>
      </c>
      <c r="N108" s="1">
        <v>45807</v>
      </c>
      <c r="O108" s="2" t="s">
        <v>111</v>
      </c>
      <c r="P108">
        <v>833</v>
      </c>
      <c r="Q108" s="2" t="s">
        <v>506</v>
      </c>
      <c r="S108" s="2" t="s">
        <v>166</v>
      </c>
      <c r="T108">
        <v>22225</v>
      </c>
      <c r="U108" s="2" t="s">
        <v>564</v>
      </c>
      <c r="V108" s="2" t="s">
        <v>166</v>
      </c>
      <c r="W108">
        <v>380000</v>
      </c>
      <c r="X108">
        <v>1</v>
      </c>
      <c r="Y108">
        <v>380000</v>
      </c>
      <c r="Z108">
        <v>380000</v>
      </c>
      <c r="AA108">
        <v>108</v>
      </c>
    </row>
    <row r="109" spans="1:27" x14ac:dyDescent="0.25">
      <c r="A109" s="2" t="s">
        <v>568</v>
      </c>
      <c r="B109" s="2" t="s">
        <v>78</v>
      </c>
      <c r="C109" s="2" t="s">
        <v>166</v>
      </c>
      <c r="D109" s="2" t="s">
        <v>569</v>
      </c>
      <c r="E109" s="2" t="s">
        <v>112</v>
      </c>
      <c r="F109">
        <v>102122</v>
      </c>
      <c r="G109" s="1">
        <v>45721</v>
      </c>
      <c r="H109" s="1">
        <v>45841</v>
      </c>
      <c r="I109">
        <v>120</v>
      </c>
      <c r="J109" s="2" t="s">
        <v>110</v>
      </c>
      <c r="K109" s="2" t="s">
        <v>570</v>
      </c>
      <c r="L109" s="2" t="s">
        <v>85</v>
      </c>
      <c r="M109">
        <v>1</v>
      </c>
      <c r="N109" s="1">
        <v>45838</v>
      </c>
      <c r="O109" s="2" t="s">
        <v>111</v>
      </c>
      <c r="P109">
        <v>833</v>
      </c>
      <c r="Q109" s="2" t="s">
        <v>506</v>
      </c>
      <c r="S109" s="2" t="s">
        <v>166</v>
      </c>
      <c r="T109">
        <v>22225</v>
      </c>
      <c r="U109" s="2" t="s">
        <v>564</v>
      </c>
      <c r="V109" s="2" t="s">
        <v>166</v>
      </c>
      <c r="W109">
        <v>350000</v>
      </c>
      <c r="X109">
        <v>1</v>
      </c>
      <c r="Y109">
        <v>350000</v>
      </c>
      <c r="Z109">
        <v>350000</v>
      </c>
      <c r="AA109">
        <v>107</v>
      </c>
    </row>
    <row r="110" spans="1:27" x14ac:dyDescent="0.25">
      <c r="A110" s="2" t="s">
        <v>151</v>
      </c>
      <c r="B110" s="2" t="s">
        <v>78</v>
      </c>
      <c r="C110" s="2" t="s">
        <v>166</v>
      </c>
      <c r="D110" s="2" t="s">
        <v>571</v>
      </c>
      <c r="E110" s="2" t="s">
        <v>112</v>
      </c>
      <c r="F110">
        <v>102122</v>
      </c>
      <c r="G110" s="1">
        <v>45881</v>
      </c>
      <c r="H110" s="1">
        <v>46001</v>
      </c>
      <c r="I110">
        <v>120</v>
      </c>
      <c r="J110" s="2" t="s">
        <v>110</v>
      </c>
      <c r="K110" s="2" t="s">
        <v>572</v>
      </c>
      <c r="L110" s="2" t="s">
        <v>92</v>
      </c>
      <c r="M110">
        <v>1</v>
      </c>
      <c r="N110" s="1">
        <v>45960</v>
      </c>
      <c r="O110" s="2" t="s">
        <v>111</v>
      </c>
      <c r="P110">
        <v>833</v>
      </c>
      <c r="Q110" s="2" t="s">
        <v>506</v>
      </c>
      <c r="S110" s="2" t="s">
        <v>166</v>
      </c>
      <c r="T110">
        <v>22225</v>
      </c>
      <c r="U110" s="2" t="s">
        <v>564</v>
      </c>
      <c r="V110" s="2" t="s">
        <v>166</v>
      </c>
      <c r="W110">
        <v>250000</v>
      </c>
      <c r="X110">
        <v>1</v>
      </c>
      <c r="Y110">
        <v>250000</v>
      </c>
      <c r="Z110">
        <v>250000</v>
      </c>
      <c r="AA110">
        <v>106</v>
      </c>
    </row>
    <row r="111" spans="1:27" x14ac:dyDescent="0.25">
      <c r="A111" s="2" t="s">
        <v>106</v>
      </c>
      <c r="B111" s="2" t="s">
        <v>78</v>
      </c>
      <c r="C111" s="2" t="s">
        <v>166</v>
      </c>
      <c r="D111" s="2" t="s">
        <v>573</v>
      </c>
      <c r="E111" s="2" t="s">
        <v>109</v>
      </c>
      <c r="F111">
        <v>102122</v>
      </c>
      <c r="G111" s="1">
        <v>45810</v>
      </c>
      <c r="H111" s="1">
        <v>45930</v>
      </c>
      <c r="I111">
        <v>120</v>
      </c>
      <c r="J111" s="2" t="s">
        <v>110</v>
      </c>
      <c r="K111" s="2" t="s">
        <v>574</v>
      </c>
      <c r="L111" s="2" t="s">
        <v>81</v>
      </c>
      <c r="M111">
        <v>1</v>
      </c>
      <c r="N111" s="1">
        <v>45901</v>
      </c>
      <c r="O111" s="2" t="s">
        <v>111</v>
      </c>
      <c r="P111">
        <v>853</v>
      </c>
      <c r="Q111" s="2" t="s">
        <v>487</v>
      </c>
      <c r="S111" s="2" t="s">
        <v>166</v>
      </c>
      <c r="U111" s="2" t="s">
        <v>166</v>
      </c>
      <c r="V111" s="2" t="s">
        <v>166</v>
      </c>
      <c r="W111">
        <v>2100000</v>
      </c>
      <c r="X111">
        <v>1</v>
      </c>
      <c r="Y111">
        <v>2100000</v>
      </c>
      <c r="Z111">
        <v>2100000</v>
      </c>
      <c r="AA111">
        <v>121</v>
      </c>
    </row>
    <row r="112" spans="1:27" x14ac:dyDescent="0.25">
      <c r="A112" s="2" t="s">
        <v>575</v>
      </c>
      <c r="B112" s="2" t="s">
        <v>78</v>
      </c>
      <c r="C112" s="2" t="s">
        <v>166</v>
      </c>
      <c r="D112" s="2" t="s">
        <v>576</v>
      </c>
      <c r="E112" s="2" t="s">
        <v>109</v>
      </c>
      <c r="F112">
        <v>102122</v>
      </c>
      <c r="G112" s="1">
        <v>45687</v>
      </c>
      <c r="H112" s="1">
        <v>45777</v>
      </c>
      <c r="I112">
        <v>90</v>
      </c>
      <c r="J112" s="2" t="s">
        <v>577</v>
      </c>
      <c r="K112" s="2" t="s">
        <v>358</v>
      </c>
      <c r="L112" s="2" t="s">
        <v>85</v>
      </c>
      <c r="M112">
        <v>1</v>
      </c>
      <c r="N112" s="1">
        <v>45777</v>
      </c>
      <c r="O112" s="2" t="s">
        <v>111</v>
      </c>
      <c r="P112">
        <v>969</v>
      </c>
      <c r="Q112" s="2" t="s">
        <v>578</v>
      </c>
      <c r="S112" s="2" t="s">
        <v>166</v>
      </c>
      <c r="T112">
        <v>19933</v>
      </c>
      <c r="U112" s="2" t="s">
        <v>579</v>
      </c>
      <c r="V112" s="2" t="s">
        <v>166</v>
      </c>
      <c r="W112">
        <v>20000</v>
      </c>
      <c r="X112">
        <v>1</v>
      </c>
      <c r="Y112">
        <v>20000</v>
      </c>
      <c r="Z112">
        <v>20000</v>
      </c>
      <c r="AA112">
        <v>112</v>
      </c>
    </row>
    <row r="113" spans="1:27" x14ac:dyDescent="0.25">
      <c r="A113" s="2" t="s">
        <v>580</v>
      </c>
      <c r="B113" s="2" t="s">
        <v>78</v>
      </c>
      <c r="C113" s="2" t="s">
        <v>166</v>
      </c>
      <c r="D113" s="2" t="s">
        <v>581</v>
      </c>
      <c r="E113" s="2" t="s">
        <v>79</v>
      </c>
      <c r="F113">
        <v>102122</v>
      </c>
      <c r="G113" s="1">
        <v>45687</v>
      </c>
      <c r="H113" s="1">
        <v>45716</v>
      </c>
      <c r="I113">
        <v>29</v>
      </c>
      <c r="J113" s="2" t="s">
        <v>93</v>
      </c>
      <c r="K113" s="2" t="s">
        <v>389</v>
      </c>
      <c r="L113" s="2" t="s">
        <v>85</v>
      </c>
      <c r="M113">
        <v>1</v>
      </c>
      <c r="N113" s="1">
        <v>45716</v>
      </c>
      <c r="O113" s="2" t="s">
        <v>82</v>
      </c>
      <c r="P113">
        <v>6515</v>
      </c>
      <c r="Q113" s="2" t="s">
        <v>134</v>
      </c>
      <c r="S113" s="2" t="s">
        <v>166</v>
      </c>
      <c r="U113" s="2" t="s">
        <v>166</v>
      </c>
      <c r="V113" s="2" t="s">
        <v>166</v>
      </c>
      <c r="W113">
        <v>650000</v>
      </c>
      <c r="X113">
        <v>1</v>
      </c>
      <c r="Y113">
        <v>650000</v>
      </c>
      <c r="Z113">
        <v>650000</v>
      </c>
      <c r="AA113">
        <v>115</v>
      </c>
    </row>
    <row r="114" spans="1:27" x14ac:dyDescent="0.25">
      <c r="A114" s="2" t="s">
        <v>582</v>
      </c>
      <c r="B114" s="2" t="s">
        <v>78</v>
      </c>
      <c r="C114" s="2" t="s">
        <v>166</v>
      </c>
      <c r="D114" s="2" t="s">
        <v>583</v>
      </c>
      <c r="E114" s="2" t="s">
        <v>79</v>
      </c>
      <c r="F114">
        <v>102122</v>
      </c>
      <c r="G114" s="1">
        <v>45687</v>
      </c>
      <c r="H114" s="1">
        <v>45748</v>
      </c>
      <c r="I114">
        <v>61</v>
      </c>
      <c r="J114" s="2" t="s">
        <v>93</v>
      </c>
      <c r="K114" s="2" t="s">
        <v>382</v>
      </c>
      <c r="L114" s="2" t="s">
        <v>85</v>
      </c>
      <c r="M114">
        <v>1</v>
      </c>
      <c r="N114" s="1">
        <v>45746</v>
      </c>
      <c r="O114" s="2" t="s">
        <v>82</v>
      </c>
      <c r="P114">
        <v>6515</v>
      </c>
      <c r="Q114" s="2" t="s">
        <v>134</v>
      </c>
      <c r="S114" s="2" t="s">
        <v>166</v>
      </c>
      <c r="U114" s="2" t="s">
        <v>166</v>
      </c>
      <c r="V114" s="2" t="s">
        <v>166</v>
      </c>
      <c r="W114">
        <v>2800000</v>
      </c>
      <c r="X114">
        <v>1</v>
      </c>
      <c r="Y114">
        <v>2800000</v>
      </c>
      <c r="Z114">
        <v>2800000</v>
      </c>
      <c r="AA114">
        <v>116</v>
      </c>
    </row>
    <row r="115" spans="1:27" x14ac:dyDescent="0.25">
      <c r="A115" s="2" t="s">
        <v>584</v>
      </c>
      <c r="B115" s="2" t="s">
        <v>78</v>
      </c>
      <c r="C115" s="2" t="s">
        <v>166</v>
      </c>
      <c r="D115" s="2" t="s">
        <v>585</v>
      </c>
      <c r="E115" s="2" t="s">
        <v>79</v>
      </c>
      <c r="F115">
        <v>102122</v>
      </c>
      <c r="G115" s="1">
        <v>45722</v>
      </c>
      <c r="H115" s="1">
        <v>45810</v>
      </c>
      <c r="I115">
        <v>88</v>
      </c>
      <c r="J115" s="2" t="s">
        <v>87</v>
      </c>
      <c r="K115" s="2" t="s">
        <v>400</v>
      </c>
      <c r="L115" s="2" t="s">
        <v>85</v>
      </c>
      <c r="M115">
        <v>1</v>
      </c>
      <c r="N115" s="1">
        <v>45809</v>
      </c>
      <c r="O115" s="2" t="s">
        <v>82</v>
      </c>
      <c r="P115">
        <v>6525</v>
      </c>
      <c r="Q115" s="2" t="s">
        <v>89</v>
      </c>
      <c r="R115">
        <v>2866</v>
      </c>
      <c r="S115" s="2" t="s">
        <v>586</v>
      </c>
      <c r="T115">
        <v>441901</v>
      </c>
      <c r="U115" s="2" t="s">
        <v>587</v>
      </c>
      <c r="V115" s="2" t="s">
        <v>94</v>
      </c>
      <c r="W115">
        <v>20000</v>
      </c>
      <c r="X115">
        <v>4</v>
      </c>
      <c r="Y115">
        <v>80000</v>
      </c>
      <c r="Z115">
        <v>80000</v>
      </c>
      <c r="AA115">
        <v>119</v>
      </c>
    </row>
    <row r="116" spans="1:27" x14ac:dyDescent="0.25">
      <c r="A116" s="2" t="s">
        <v>588</v>
      </c>
      <c r="B116" s="2" t="s">
        <v>78</v>
      </c>
      <c r="C116" s="2" t="s">
        <v>166</v>
      </c>
      <c r="D116" s="2" t="s">
        <v>589</v>
      </c>
      <c r="E116" s="2" t="s">
        <v>79</v>
      </c>
      <c r="F116">
        <v>102122</v>
      </c>
      <c r="G116" s="1">
        <v>45679</v>
      </c>
      <c r="H116" s="1">
        <v>45769</v>
      </c>
      <c r="I116">
        <v>90</v>
      </c>
      <c r="J116" s="2" t="s">
        <v>155</v>
      </c>
      <c r="K116" s="2" t="s">
        <v>403</v>
      </c>
      <c r="L116" s="2" t="s">
        <v>85</v>
      </c>
      <c r="M116">
        <v>1</v>
      </c>
      <c r="N116" s="1">
        <v>45748</v>
      </c>
      <c r="O116" s="2" t="s">
        <v>82</v>
      </c>
      <c r="P116">
        <v>7060</v>
      </c>
      <c r="Q116" s="2" t="s">
        <v>363</v>
      </c>
      <c r="R116">
        <v>6669</v>
      </c>
      <c r="S116" s="2" t="s">
        <v>590</v>
      </c>
      <c r="T116">
        <v>619128</v>
      </c>
      <c r="U116" s="2" t="s">
        <v>591</v>
      </c>
      <c r="V116" s="2" t="s">
        <v>94</v>
      </c>
      <c r="W116">
        <v>600</v>
      </c>
      <c r="X116">
        <v>100</v>
      </c>
      <c r="Y116">
        <v>60000</v>
      </c>
      <c r="Z116">
        <v>60000</v>
      </c>
      <c r="AA116">
        <v>118</v>
      </c>
    </row>
    <row r="117" spans="1:27" x14ac:dyDescent="0.25">
      <c r="A117" s="2" t="s">
        <v>592</v>
      </c>
      <c r="B117" s="2" t="s">
        <v>78</v>
      </c>
      <c r="C117" s="2" t="s">
        <v>166</v>
      </c>
      <c r="D117" s="2" t="s">
        <v>593</v>
      </c>
      <c r="E117" s="2" t="s">
        <v>79</v>
      </c>
      <c r="F117">
        <v>102122</v>
      </c>
      <c r="G117" s="1">
        <v>45811</v>
      </c>
      <c r="H117" s="1">
        <v>45901</v>
      </c>
      <c r="I117">
        <v>90</v>
      </c>
      <c r="J117" s="2" t="s">
        <v>87</v>
      </c>
      <c r="K117" s="2" t="s">
        <v>406</v>
      </c>
      <c r="L117" s="2" t="s">
        <v>85</v>
      </c>
      <c r="M117">
        <v>1</v>
      </c>
      <c r="N117" s="1">
        <v>45901</v>
      </c>
      <c r="O117" s="2" t="s">
        <v>82</v>
      </c>
      <c r="P117">
        <v>7010</v>
      </c>
      <c r="Q117" s="2" t="s">
        <v>154</v>
      </c>
      <c r="R117">
        <v>10293</v>
      </c>
      <c r="S117" s="2" t="s">
        <v>594</v>
      </c>
      <c r="T117">
        <v>486356</v>
      </c>
      <c r="U117" s="2" t="s">
        <v>595</v>
      </c>
      <c r="V117" s="2" t="s">
        <v>94</v>
      </c>
      <c r="W117">
        <v>50000</v>
      </c>
      <c r="X117">
        <v>1</v>
      </c>
      <c r="Y117">
        <v>50000</v>
      </c>
      <c r="Z117">
        <v>50000</v>
      </c>
      <c r="AA117">
        <v>117</v>
      </c>
    </row>
    <row r="118" spans="1:27" x14ac:dyDescent="0.25">
      <c r="A118" s="2" t="s">
        <v>596</v>
      </c>
      <c r="B118" s="2" t="s">
        <v>78</v>
      </c>
      <c r="C118" s="2" t="s">
        <v>166</v>
      </c>
      <c r="D118" s="2" t="s">
        <v>597</v>
      </c>
      <c r="E118" s="2" t="s">
        <v>79</v>
      </c>
      <c r="F118">
        <v>102122</v>
      </c>
      <c r="G118" s="1">
        <v>45810</v>
      </c>
      <c r="H118" s="1">
        <v>45930</v>
      </c>
      <c r="I118">
        <v>120</v>
      </c>
      <c r="J118" s="2" t="s">
        <v>103</v>
      </c>
      <c r="K118" s="2" t="s">
        <v>392</v>
      </c>
      <c r="L118" s="2" t="s">
        <v>85</v>
      </c>
      <c r="M118">
        <v>1</v>
      </c>
      <c r="N118" s="1">
        <v>45930</v>
      </c>
      <c r="O118" s="2" t="s">
        <v>82</v>
      </c>
      <c r="P118">
        <v>6640</v>
      </c>
      <c r="Q118" s="2" t="s">
        <v>86</v>
      </c>
      <c r="R118">
        <v>7059</v>
      </c>
      <c r="S118" s="2" t="s">
        <v>598</v>
      </c>
      <c r="U118" s="2" t="s">
        <v>166</v>
      </c>
      <c r="V118" s="2" t="s">
        <v>166</v>
      </c>
      <c r="W118">
        <v>872000</v>
      </c>
      <c r="X118">
        <v>1</v>
      </c>
      <c r="Y118">
        <v>872000</v>
      </c>
      <c r="Z118">
        <v>872000</v>
      </c>
      <c r="AA118">
        <v>114</v>
      </c>
    </row>
    <row r="119" spans="1:27" x14ac:dyDescent="0.25">
      <c r="A119" s="2" t="s">
        <v>599</v>
      </c>
      <c r="B119" s="2" t="s">
        <v>78</v>
      </c>
      <c r="C119" s="2" t="s">
        <v>600</v>
      </c>
      <c r="D119" s="2" t="s">
        <v>601</v>
      </c>
      <c r="E119" s="2" t="s">
        <v>109</v>
      </c>
      <c r="F119">
        <v>102122</v>
      </c>
      <c r="G119" s="1">
        <v>45926</v>
      </c>
      <c r="H119" s="1">
        <v>45930</v>
      </c>
      <c r="I119">
        <v>4</v>
      </c>
      <c r="J119" s="2" t="s">
        <v>120</v>
      </c>
      <c r="K119" s="2" t="s">
        <v>396</v>
      </c>
      <c r="L119" s="2" t="s">
        <v>85</v>
      </c>
      <c r="M119">
        <v>1</v>
      </c>
      <c r="N119" s="1">
        <v>45838</v>
      </c>
      <c r="O119" s="2" t="s">
        <v>111</v>
      </c>
      <c r="P119">
        <v>833</v>
      </c>
      <c r="Q119" s="2" t="s">
        <v>506</v>
      </c>
      <c r="S119" s="2" t="s">
        <v>166</v>
      </c>
      <c r="U119" s="2" t="s">
        <v>166</v>
      </c>
      <c r="V119" s="2" t="s">
        <v>166</v>
      </c>
      <c r="W119">
        <v>50000</v>
      </c>
      <c r="X119">
        <v>1</v>
      </c>
      <c r="Y119">
        <v>50000</v>
      </c>
      <c r="Z119">
        <v>50000</v>
      </c>
      <c r="AA119">
        <v>113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76427-CF0B-40A6-AFBE-61DCCB1D33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PCA</vt:lpstr>
      <vt:lpstr>Formação PCA</vt:lpstr>
      <vt:lpstr>Caminho</vt:lpstr>
    </vt:vector>
  </TitlesOfParts>
  <Company>USP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simões carmo</dc:creator>
  <cp:lastModifiedBy>rafael simões carmo</cp:lastModifiedBy>
  <dcterms:created xsi:type="dcterms:W3CDTF">2025-11-12T15:19:17Z</dcterms:created>
  <dcterms:modified xsi:type="dcterms:W3CDTF">2025-11-13T15:47:26Z</dcterms:modified>
</cp:coreProperties>
</file>